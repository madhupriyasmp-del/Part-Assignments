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ata Analyst\Part Assignment\"/>
    </mc:Choice>
  </mc:AlternateContent>
  <xr:revisionPtr revIDLastSave="0" documentId="13_ncr:1_{EB4D663A-571E-4F99-B47D-7C029B6F91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Observations" sheetId="3" r:id="rId2"/>
  </sheets>
  <definedNames>
    <definedName name="_xlnm._FilterDatabase" localSheetId="0" hidden="1">Dataset!$A$1:$L$35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2" i="1" l="1" a="1"/>
  <c r="J2" i="1" s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L8" i="1"/>
  <c r="L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L6" i="1"/>
  <c r="L5" i="1"/>
  <c r="L4" i="1"/>
  <c r="L3" i="1"/>
  <c r="L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<sst xmlns="http://schemas.openxmlformats.org/spreadsheetml/2006/main" count="166" uniqueCount="117">
  <si>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</si>
  <si>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</si>
  <si>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</si>
  <si>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</si>
  <si>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</si>
  <si>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</si>
  <si>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</si>
  <si>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</si>
  <si>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</si>
  <si>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</si>
  <si>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</si>
  <si>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</si>
  <si>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</si>
  <si>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</si>
  <si>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</si>
  <si>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</si>
  <si>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</si>
  <si>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</si>
  <si>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</si>
  <si>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</si>
  <si>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</si>
  <si>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</si>
  <si>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</si>
  <si>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</si>
  <si>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</si>
  <si>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</si>
  <si>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</si>
  <si>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</si>
  <si>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</si>
  <si>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</si>
  <si>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</si>
  <si>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</si>
  <si>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</si>
  <si>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</si>
  <si>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</si>
  <si>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</si>
  <si>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</si>
  <si>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</si>
  <si>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</si>
  <si>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</si>
  <si>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</si>
  <si>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</si>
  <si>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</si>
  <si>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</si>
  <si>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</si>
  <si>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</si>
  <si>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</si>
  <si>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</si>
  <si>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</si>
  <si>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</si>
  <si>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</si>
  <si>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</si>
  <si>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</si>
  <si>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</si>
  <si>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</si>
  <si>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</si>
  <si>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</si>
  <si>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</si>
  <si>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</si>
  <si>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</si>
  <si>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</si>
  <si>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</si>
  <si>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</si>
  <si>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</si>
  <si>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</si>
  <si>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</si>
  <si>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</si>
  <si>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</si>
  <si>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</si>
  <si>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</si>
  <si>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</si>
  <si>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</si>
  <si>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</si>
  <si>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</si>
  <si>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</si>
  <si>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</si>
  <si>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</si>
  <si>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</si>
  <si>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</si>
  <si>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</si>
  <si>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</si>
  <si>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</si>
  <si>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</si>
  <si>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</si>
  <si>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</si>
  <si>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</si>
  <si>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</si>
  <si>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</si>
  <si>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</si>
  <si>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</si>
  <si>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</si>
  <si>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</si>
  <si>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</si>
  <si>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Summary</t>
  </si>
  <si>
    <t>Total price of all Products</t>
  </si>
  <si>
    <t>Product Count</t>
  </si>
  <si>
    <t>Average price of the products</t>
  </si>
  <si>
    <t>Minimum price</t>
  </si>
  <si>
    <t>Maximum price</t>
  </si>
  <si>
    <t>Price Range</t>
  </si>
  <si>
    <t>Day</t>
  </si>
  <si>
    <t>Country Code</t>
  </si>
  <si>
    <t>Month</t>
  </si>
  <si>
    <t>Observations</t>
  </si>
  <si>
    <r>
      <t xml:space="preserve">6) </t>
    </r>
    <r>
      <rPr>
        <b/>
        <sz val="10"/>
        <color rgb="FF000000"/>
        <rFont val="Arial"/>
        <family val="2"/>
        <scheme val="minor"/>
      </rPr>
      <t>=IF()</t>
    </r>
    <r>
      <rPr>
        <sz val="10"/>
        <color rgb="FF000000"/>
        <rFont val="Arial"/>
        <family val="2"/>
        <scheme val="minor"/>
      </rPr>
      <t xml:space="preserve"> function used in </t>
    </r>
    <r>
      <rPr>
        <b/>
        <sz val="10"/>
        <color rgb="FF000000"/>
        <rFont val="Arial"/>
        <family val="2"/>
        <scheme val="minor"/>
      </rPr>
      <t>ColumnG</t>
    </r>
    <r>
      <rPr>
        <sz val="10"/>
        <color rgb="FF000000"/>
        <rFont val="Arial"/>
        <family val="2"/>
        <scheme val="minor"/>
      </rPr>
      <t xml:space="preserve"> to categorize product based on their price</t>
    </r>
  </si>
  <si>
    <r>
      <t xml:space="preserve">1) </t>
    </r>
    <r>
      <rPr>
        <b/>
        <sz val="10"/>
        <color rgb="FF000000"/>
        <rFont val="Arial"/>
        <family val="2"/>
        <scheme val="minor"/>
      </rPr>
      <t>Total price of all products</t>
    </r>
    <r>
      <rPr>
        <sz val="10"/>
        <color rgb="FF000000"/>
        <rFont val="Arial"/>
        <family val="2"/>
        <scheme val="minor"/>
      </rPr>
      <t xml:space="preserve"> in the dataset calculated using =</t>
    </r>
    <r>
      <rPr>
        <b/>
        <sz val="10"/>
        <color rgb="FF000000"/>
        <rFont val="Arial"/>
        <family val="2"/>
        <scheme val="minor"/>
      </rPr>
      <t>SUM()</t>
    </r>
    <r>
      <rPr>
        <sz val="10"/>
        <color rgb="FF000000"/>
        <rFont val="Arial"/>
        <family val="2"/>
        <scheme val="minor"/>
      </rPr>
      <t xml:space="preserve"> function in </t>
    </r>
    <r>
      <rPr>
        <b/>
        <sz val="10"/>
        <color rgb="FF000000"/>
        <rFont val="Arial"/>
        <family val="2"/>
        <scheme val="minor"/>
      </rPr>
      <t>Cell L2</t>
    </r>
  </si>
  <si>
    <r>
      <t xml:space="preserve">2) </t>
    </r>
    <r>
      <rPr>
        <b/>
        <sz val="10"/>
        <color rgb="FF000000"/>
        <rFont val="Arial"/>
        <family val="2"/>
        <scheme val="minor"/>
      </rPr>
      <t>How many products exist</t>
    </r>
    <r>
      <rPr>
        <sz val="10"/>
        <color rgb="FF000000"/>
        <rFont val="Arial"/>
        <scheme val="minor"/>
      </rPr>
      <t xml:space="preserve"> in the dataset determined using =</t>
    </r>
    <r>
      <rPr>
        <b/>
        <sz val="10"/>
        <color rgb="FF000000"/>
        <rFont val="Arial"/>
        <family val="2"/>
        <scheme val="minor"/>
      </rPr>
      <t>COUNT()</t>
    </r>
    <r>
      <rPr>
        <sz val="10"/>
        <color rgb="FF000000"/>
        <rFont val="Arial"/>
        <scheme val="minor"/>
      </rPr>
      <t xml:space="preserve"> function in </t>
    </r>
    <r>
      <rPr>
        <b/>
        <sz val="10"/>
        <color rgb="FF000000"/>
        <rFont val="Arial"/>
        <family val="2"/>
        <scheme val="minor"/>
      </rPr>
      <t>cell L3</t>
    </r>
  </si>
  <si>
    <r>
      <t xml:space="preserve">3) </t>
    </r>
    <r>
      <rPr>
        <b/>
        <sz val="10"/>
        <color rgb="FF000000"/>
        <rFont val="Arial"/>
        <family val="2"/>
        <scheme val="minor"/>
      </rPr>
      <t>Average price of the products</t>
    </r>
    <r>
      <rPr>
        <sz val="10"/>
        <color rgb="FF000000"/>
        <rFont val="Arial"/>
        <family val="2"/>
        <scheme val="minor"/>
      </rPr>
      <t xml:space="preserve"> calculated using =</t>
    </r>
    <r>
      <rPr>
        <b/>
        <sz val="10"/>
        <color rgb="FF000000"/>
        <rFont val="Arial"/>
        <family val="2"/>
        <scheme val="minor"/>
      </rPr>
      <t>AVERAGE()</t>
    </r>
    <r>
      <rPr>
        <sz val="10"/>
        <color rgb="FF000000"/>
        <rFont val="Arial"/>
        <family val="2"/>
        <scheme val="minor"/>
      </rPr>
      <t xml:space="preserve"> function in </t>
    </r>
    <r>
      <rPr>
        <b/>
        <sz val="10"/>
        <color rgb="FF000000"/>
        <rFont val="Arial"/>
        <family val="2"/>
        <scheme val="minor"/>
      </rPr>
      <t>cell L4</t>
    </r>
  </si>
  <si>
    <r>
      <t>4)</t>
    </r>
    <r>
      <rPr>
        <b/>
        <sz val="10"/>
        <color rgb="FF000000"/>
        <rFont val="Arial"/>
        <family val="2"/>
        <scheme val="minor"/>
      </rPr>
      <t>Minimum price</t>
    </r>
    <r>
      <rPr>
        <sz val="10"/>
        <color rgb="FF000000"/>
        <rFont val="Arial"/>
        <family val="2"/>
        <scheme val="minor"/>
      </rPr>
      <t xml:space="preserve"> identified using </t>
    </r>
    <r>
      <rPr>
        <b/>
        <sz val="10"/>
        <color rgb="FF000000"/>
        <rFont val="Arial"/>
        <family val="2"/>
        <scheme val="minor"/>
      </rPr>
      <t>=MIN()</t>
    </r>
    <r>
      <rPr>
        <sz val="10"/>
        <color rgb="FF000000"/>
        <rFont val="Arial"/>
        <family val="2"/>
        <scheme val="minor"/>
      </rPr>
      <t xml:space="preserve"> function in </t>
    </r>
    <r>
      <rPr>
        <b/>
        <sz val="10"/>
        <color rgb="FF000000"/>
        <rFont val="Arial"/>
        <family val="2"/>
        <scheme val="minor"/>
      </rPr>
      <t>cell L5</t>
    </r>
  </si>
  <si>
    <r>
      <t>5)</t>
    </r>
    <r>
      <rPr>
        <b/>
        <sz val="10"/>
        <color rgb="FF000000"/>
        <rFont val="Arial"/>
        <family val="2"/>
        <scheme val="minor"/>
      </rPr>
      <t>Maximum price</t>
    </r>
    <r>
      <rPr>
        <sz val="10"/>
        <color rgb="FF000000"/>
        <rFont val="Arial"/>
        <family val="2"/>
        <scheme val="minor"/>
      </rPr>
      <t xml:space="preserve"> identified using </t>
    </r>
    <r>
      <rPr>
        <b/>
        <sz val="10"/>
        <color rgb="FF000000"/>
        <rFont val="Arial"/>
        <family val="2"/>
        <scheme val="minor"/>
      </rPr>
      <t>=MAX()</t>
    </r>
    <r>
      <rPr>
        <sz val="10"/>
        <color rgb="FF000000"/>
        <rFont val="Arial"/>
        <family val="2"/>
        <scheme val="minor"/>
      </rPr>
      <t xml:space="preserve"> function in </t>
    </r>
    <r>
      <rPr>
        <b/>
        <sz val="10"/>
        <color rgb="FF000000"/>
        <rFont val="Arial"/>
        <family val="2"/>
        <scheme val="minor"/>
      </rPr>
      <t>cell L6</t>
    </r>
  </si>
  <si>
    <r>
      <t>8)</t>
    </r>
    <r>
      <rPr>
        <b/>
        <sz val="10"/>
        <color rgb="FF000000"/>
        <rFont val="Arial"/>
        <family val="2"/>
        <scheme val="minor"/>
      </rPr>
      <t>Number of products with a price less than $100</t>
    </r>
    <r>
      <rPr>
        <sz val="10"/>
        <color rgb="FF000000"/>
        <rFont val="Arial"/>
        <family val="2"/>
        <scheme val="minor"/>
      </rPr>
      <t xml:space="preserve"> determined using </t>
    </r>
    <r>
      <rPr>
        <b/>
        <sz val="10"/>
        <color rgb="FF000000"/>
        <rFont val="Arial"/>
        <family val="2"/>
        <scheme val="minor"/>
      </rPr>
      <t>=COUNTIF()</t>
    </r>
    <r>
      <rPr>
        <sz val="10"/>
        <color rgb="FF000000"/>
        <rFont val="Arial"/>
        <family val="2"/>
        <scheme val="minor"/>
      </rPr>
      <t xml:space="preserve"> function in </t>
    </r>
    <r>
      <rPr>
        <b/>
        <sz val="10"/>
        <color rgb="FF000000"/>
        <rFont val="Arial"/>
        <family val="2"/>
        <scheme val="minor"/>
      </rPr>
      <t>cell8</t>
    </r>
  </si>
  <si>
    <r>
      <t xml:space="preserve">7) </t>
    </r>
    <r>
      <rPr>
        <b/>
        <sz val="10"/>
        <color rgb="FF000000"/>
        <rFont val="Arial"/>
        <family val="2"/>
        <scheme val="minor"/>
      </rPr>
      <t>Total price of products in the Electronics category</t>
    </r>
    <r>
      <rPr>
        <sz val="10"/>
        <color rgb="FF000000"/>
        <rFont val="Arial"/>
        <family val="2"/>
        <scheme val="minor"/>
      </rPr>
      <t xml:space="preserve"> calculated using </t>
    </r>
    <r>
      <rPr>
        <b/>
        <sz val="10"/>
        <color rgb="FF000000"/>
        <rFont val="Arial"/>
        <family val="2"/>
        <scheme val="minor"/>
      </rPr>
      <t>=SUMIF()</t>
    </r>
    <r>
      <rPr>
        <sz val="10"/>
        <color rgb="FF000000"/>
        <rFont val="Arial"/>
        <family val="2"/>
        <scheme val="minor"/>
      </rPr>
      <t xml:space="preserve"> function in </t>
    </r>
    <r>
      <rPr>
        <b/>
        <sz val="10"/>
        <color rgb="FF000000"/>
        <rFont val="Arial"/>
        <family val="2"/>
        <scheme val="minor"/>
      </rPr>
      <t>cell L7</t>
    </r>
  </si>
  <si>
    <r>
      <t xml:space="preserve">9) </t>
    </r>
    <r>
      <rPr>
        <b/>
        <sz val="10"/>
        <color rgb="FF000000"/>
        <rFont val="Arial"/>
        <family val="2"/>
        <scheme val="minor"/>
      </rPr>
      <t>Day</t>
    </r>
    <r>
      <rPr>
        <sz val="10"/>
        <color rgb="FF000000"/>
        <rFont val="Arial"/>
        <family val="2"/>
        <scheme val="minor"/>
      </rPr>
      <t xml:space="preserve"> extracted from Product ID using </t>
    </r>
    <r>
      <rPr>
        <b/>
        <sz val="10"/>
        <color rgb="FF000000"/>
        <rFont val="Arial"/>
        <family val="2"/>
        <scheme val="minor"/>
      </rPr>
      <t>=LEFT()</t>
    </r>
    <r>
      <rPr>
        <sz val="10"/>
        <color rgb="FF000000"/>
        <rFont val="Arial"/>
        <family val="2"/>
        <scheme val="minor"/>
      </rPr>
      <t xml:space="preserve"> function in </t>
    </r>
    <r>
      <rPr>
        <b/>
        <sz val="10"/>
        <color rgb="FF000000"/>
        <rFont val="Arial"/>
        <family val="2"/>
        <scheme val="minor"/>
      </rPr>
      <t>Column H</t>
    </r>
  </si>
  <si>
    <r>
      <t xml:space="preserve">10) </t>
    </r>
    <r>
      <rPr>
        <b/>
        <sz val="10"/>
        <color rgb="FF000000"/>
        <rFont val="Arial"/>
        <family val="2"/>
        <scheme val="minor"/>
      </rPr>
      <t>Country code</t>
    </r>
    <r>
      <rPr>
        <sz val="10"/>
        <color rgb="FF000000"/>
        <rFont val="Arial"/>
        <family val="2"/>
        <scheme val="minor"/>
      </rPr>
      <t xml:space="preserve"> extracted from Product ID using </t>
    </r>
    <r>
      <rPr>
        <b/>
        <sz val="10"/>
        <color rgb="FF000000"/>
        <rFont val="Arial"/>
        <family val="2"/>
        <scheme val="minor"/>
      </rPr>
      <t>=RIGHT()</t>
    </r>
    <r>
      <rPr>
        <sz val="10"/>
        <color rgb="FF000000"/>
        <rFont val="Arial"/>
        <family val="2"/>
        <scheme val="minor"/>
      </rPr>
      <t xml:space="preserve"> function in </t>
    </r>
    <r>
      <rPr>
        <b/>
        <sz val="10"/>
        <color rgb="FF000000"/>
        <rFont val="Arial"/>
        <family val="2"/>
        <scheme val="minor"/>
      </rPr>
      <t>column I</t>
    </r>
  </si>
  <si>
    <r>
      <t xml:space="preserve">11) </t>
    </r>
    <r>
      <rPr>
        <b/>
        <sz val="10"/>
        <color rgb="FF000000"/>
        <rFont val="Arial"/>
        <family val="2"/>
        <scheme val="minor"/>
      </rPr>
      <t>Month</t>
    </r>
    <r>
      <rPr>
        <sz val="10"/>
        <color rgb="FF000000"/>
        <rFont val="Arial"/>
        <family val="2"/>
        <scheme val="minor"/>
      </rPr>
      <t xml:space="preserve"> extracted from Product ID using </t>
    </r>
    <r>
      <rPr>
        <b/>
        <sz val="10"/>
        <color rgb="FF000000"/>
        <rFont val="Arial"/>
        <family val="2"/>
        <scheme val="minor"/>
      </rPr>
      <t>=MID()</t>
    </r>
    <r>
      <rPr>
        <sz val="10"/>
        <color rgb="FF000000"/>
        <rFont val="Arial"/>
        <family val="2"/>
        <scheme val="minor"/>
      </rPr>
      <t xml:space="preserve"> function in </t>
    </r>
    <r>
      <rPr>
        <b/>
        <sz val="10"/>
        <color rgb="FF000000"/>
        <rFont val="Arial"/>
        <family val="2"/>
        <scheme val="minor"/>
      </rPr>
      <t>column J</t>
    </r>
  </si>
  <si>
    <t>Number of products with a price less than $100</t>
  </si>
  <si>
    <t>Total price of products in the Electronics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</si>
</sst>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E0F7FA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E0F7FA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6" borderId="2" xfId="0" applyFont="1" applyFill="1" applyBorder="1"/>
    <xf numFmtId="0" fontId="2" fillId="6" borderId="1" xfId="0" applyFont="1" applyFill="1" applyBorder="1"/>
    <xf numFmtId="0" fontId="2" fillId="7" borderId="2" xfId="0" applyFont="1" applyFill="1" applyBorder="1"/>
    <xf numFmtId="0" fontId="2" fillId="7" borderId="1" xfId="0" applyFont="1" applyFill="1" applyBorder="1"/>
    <xf numFmtId="0" fontId="3" fillId="8" borderId="0" xfId="0" applyFont="1" applyFill="1" applyAlignment="1">
      <alignment horizontal="center"/>
    </xf>
    <xf numFmtId="0" fontId="4" fillId="0" borderId="0" xfId="0" applyFont="1"/>
    <xf numFmtId="0" fontId="2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workbookViewId="0">
      <selection activeCell="K19" sqref="K19"/>
    </sheetView>
  </sheetViews>
  <sheetFormatPr defaultColWidth="12.6640625" defaultRowHeight="15" customHeight="1" x14ac:dyDescent="0.25"/>
  <cols>
    <col min="2" max="2" width="14.109375" customWidth="1"/>
    <col min="3" max="3" width="12.109375" customWidth="1"/>
    <col min="4" max="5" width="10.44140625" customWidth="1"/>
    <col min="7" max="7" width="15.21875" customWidth="1"/>
    <col min="8" max="8" width="10.5546875" customWidth="1"/>
    <col min="9" max="9" width="13.44140625" customWidth="1"/>
    <col min="10" max="10" width="12.88671875" customWidth="1"/>
    <col min="11" max="11" width="42.6640625" customWidth="1"/>
  </cols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99</v>
      </c>
      <c r="H1" s="1" t="s">
        <v>100</v>
      </c>
      <c r="I1" s="1" t="s">
        <v>101</v>
      </c>
      <c r="J1" s="1" t="s">
        <v>102</v>
      </c>
      <c r="K1" s="5" t="s">
        <v>93</v>
      </c>
      <c r="L1" s="4"/>
    </row>
    <row r="2" spans="1:12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 t="str">
        <f>IF(D2&gt;=500,"High Price","Standard Price")</f>
        <v>High Price</v>
      </c>
      <c r="H2" s="6" t="str">
        <f>LEFT(A2,2)</f>
        <v>28</v>
      </c>
      <c r="I2" s="6" t="str">
        <f>RIGHT(A2,2)</f>
        <v>US</v>
      </c>
      <c r="J2" s="6" t="str" cm="1">
        <f t="array" ref="J2:J35">MID(A2:A35,4,3)</f>
        <v>JAN</v>
      </c>
      <c r="K2" s="8" t="s">
        <v>94</v>
      </c>
      <c r="L2" s="9">
        <f>SUM(D2:D35)</f>
        <v>10100</v>
      </c>
    </row>
    <row r="3" spans="1:12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3" t="str">
        <f t="shared" ref="G3:G35" si="0">IF(D3&gt;=500,"High Price","Standard Price")</f>
        <v>Standard Price</v>
      </c>
      <c r="H3" s="7" t="str">
        <f t="shared" ref="H3:H35" si="1">LEFT(A3,2)</f>
        <v>15</v>
      </c>
      <c r="I3" s="7" t="str">
        <f t="shared" ref="I3:I35" si="2">RIGHT(A3,2)</f>
        <v>US</v>
      </c>
      <c r="J3" s="7" t="str">
        <v>FEB</v>
      </c>
      <c r="K3" s="10" t="s">
        <v>95</v>
      </c>
      <c r="L3" s="11">
        <f>COUNTA((A2:A35))</f>
        <v>34</v>
      </c>
    </row>
    <row r="4" spans="1:12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 t="str">
        <f t="shared" si="0"/>
        <v>Standard Price</v>
      </c>
      <c r="H4" s="6" t="str">
        <f t="shared" si="1"/>
        <v>03</v>
      </c>
      <c r="I4" s="6" t="str">
        <f t="shared" si="2"/>
        <v>US</v>
      </c>
      <c r="J4" s="6" t="str">
        <v>MAR</v>
      </c>
      <c r="K4" s="8" t="s">
        <v>96</v>
      </c>
      <c r="L4" s="9">
        <f>AVERAGE(D2:D35)</f>
        <v>297.05882352941177</v>
      </c>
    </row>
    <row r="5" spans="1:12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3" t="str">
        <f t="shared" si="0"/>
        <v>High Price</v>
      </c>
      <c r="H5" s="7" t="str">
        <f t="shared" si="1"/>
        <v>11</v>
      </c>
      <c r="I5" s="7" t="str">
        <f t="shared" si="2"/>
        <v>US</v>
      </c>
      <c r="J5" s="7" t="str">
        <v>APR</v>
      </c>
      <c r="K5" s="10" t="s">
        <v>97</v>
      </c>
      <c r="L5" s="11">
        <f>MIN(D2:D35)</f>
        <v>30</v>
      </c>
    </row>
    <row r="6" spans="1:12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 t="str">
        <f t="shared" si="0"/>
        <v>Standard Price</v>
      </c>
      <c r="H6" s="6" t="str">
        <f t="shared" si="1"/>
        <v>22</v>
      </c>
      <c r="I6" s="6" t="str">
        <f t="shared" si="2"/>
        <v>US</v>
      </c>
      <c r="J6" s="6" t="str">
        <v>MAY</v>
      </c>
      <c r="K6" s="8" t="s">
        <v>98</v>
      </c>
      <c r="L6" s="9">
        <f>MAX(D2:D35)</f>
        <v>1000</v>
      </c>
    </row>
    <row r="7" spans="1:12" ht="15.75" customHeigh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3" t="str">
        <f t="shared" si="0"/>
        <v>Standard Price</v>
      </c>
      <c r="H7" s="7" t="str">
        <f t="shared" si="1"/>
        <v>07</v>
      </c>
      <c r="I7" s="7" t="str">
        <f t="shared" si="2"/>
        <v>UK</v>
      </c>
      <c r="J7" s="7" t="str">
        <v>JUN</v>
      </c>
      <c r="K7" s="10" t="s">
        <v>116</v>
      </c>
      <c r="L7" s="11">
        <f>SUMIF(F2:F35,"Electronics",D2:D35)</f>
        <v>8050</v>
      </c>
    </row>
    <row r="8" spans="1:12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 t="str">
        <f t="shared" si="0"/>
        <v>Standard Price</v>
      </c>
      <c r="H8" s="6" t="str">
        <f t="shared" si="1"/>
        <v>19</v>
      </c>
      <c r="I8" s="6" t="str">
        <f t="shared" si="2"/>
        <v>UK</v>
      </c>
      <c r="J8" s="6" t="str">
        <v>JUL</v>
      </c>
      <c r="K8" s="14" t="s">
        <v>115</v>
      </c>
      <c r="L8" s="9">
        <f>COUNTIF(D2:D35,"&lt;100")</f>
        <v>11</v>
      </c>
    </row>
    <row r="9" spans="1:12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3" t="str">
        <f t="shared" si="0"/>
        <v>Standard Price</v>
      </c>
      <c r="H9" s="7" t="str">
        <f t="shared" si="1"/>
        <v>23</v>
      </c>
      <c r="I9" s="7" t="str">
        <f t="shared" si="2"/>
        <v>UK</v>
      </c>
      <c r="J9" s="7" t="str">
        <v>AUG</v>
      </c>
    </row>
    <row r="10" spans="1:12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 t="str">
        <f t="shared" si="0"/>
        <v>High Price</v>
      </c>
      <c r="H10" s="6" t="str">
        <f t="shared" si="1"/>
        <v>05</v>
      </c>
      <c r="I10" s="6" t="str">
        <f t="shared" si="2"/>
        <v>UK</v>
      </c>
      <c r="J10" s="6" t="str">
        <v>SEP</v>
      </c>
    </row>
    <row r="11" spans="1:12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3" t="str">
        <f t="shared" si="0"/>
        <v>Standard Price</v>
      </c>
      <c r="H11" s="6" t="str">
        <f t="shared" si="1"/>
        <v>14</v>
      </c>
      <c r="I11" s="6" t="str">
        <f t="shared" si="2"/>
        <v>UK</v>
      </c>
      <c r="J11" s="6" t="str">
        <v>OCT</v>
      </c>
    </row>
    <row r="12" spans="1:12" ht="15.75" customHeight="1" x14ac:dyDescent="0.2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 t="str">
        <f t="shared" si="0"/>
        <v>High Price</v>
      </c>
      <c r="H12" s="7" t="str">
        <f t="shared" si="1"/>
        <v>17</v>
      </c>
      <c r="I12" s="7" t="str">
        <f t="shared" si="2"/>
        <v>IN</v>
      </c>
      <c r="J12" s="7" t="str">
        <v>JUN</v>
      </c>
    </row>
    <row r="13" spans="1:12" ht="15.75" customHeight="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3" t="str">
        <f t="shared" si="0"/>
        <v>Standard Price</v>
      </c>
      <c r="H13" s="6" t="str">
        <f t="shared" si="1"/>
        <v>25</v>
      </c>
      <c r="I13" s="6" t="str">
        <f t="shared" si="2"/>
        <v>AU</v>
      </c>
      <c r="J13" s="6" t="str">
        <v>NOV</v>
      </c>
    </row>
    <row r="14" spans="1:12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 t="str">
        <f t="shared" si="0"/>
        <v>Standard Price</v>
      </c>
      <c r="H14" s="7" t="str">
        <f t="shared" si="1"/>
        <v>08</v>
      </c>
      <c r="I14" s="7" t="str">
        <f t="shared" si="2"/>
        <v>DE</v>
      </c>
      <c r="J14" s="7" t="str">
        <v>DEC</v>
      </c>
    </row>
    <row r="15" spans="1:12" ht="15.75" customHeight="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3" t="str">
        <f t="shared" si="0"/>
        <v>Standard Price</v>
      </c>
      <c r="H15" s="6" t="str">
        <f t="shared" si="1"/>
        <v>18</v>
      </c>
      <c r="I15" s="6" t="str">
        <f t="shared" si="2"/>
        <v>CA</v>
      </c>
      <c r="J15" s="6" t="str">
        <v>FEB</v>
      </c>
    </row>
    <row r="16" spans="1:12" ht="15.75" customHeigh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 t="str">
        <f t="shared" si="0"/>
        <v>Standard Price</v>
      </c>
      <c r="H16" s="7" t="str">
        <f t="shared" si="1"/>
        <v>16</v>
      </c>
      <c r="I16" s="7" t="str">
        <f t="shared" si="2"/>
        <v>ES</v>
      </c>
      <c r="J16" s="7" t="str">
        <v>APR</v>
      </c>
    </row>
    <row r="17" spans="1:10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3" t="str">
        <f t="shared" si="0"/>
        <v>Standard Price</v>
      </c>
      <c r="H17" s="6" t="str">
        <f t="shared" si="1"/>
        <v>21</v>
      </c>
      <c r="I17" s="6" t="str">
        <f t="shared" si="2"/>
        <v>CA</v>
      </c>
      <c r="J17" s="6" t="str">
        <v>AUG</v>
      </c>
    </row>
    <row r="18" spans="1:10" ht="15.75" customHeight="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 t="str">
        <f t="shared" si="0"/>
        <v>Standard Price</v>
      </c>
      <c r="H18" s="7" t="str">
        <f t="shared" si="1"/>
        <v>20</v>
      </c>
      <c r="I18" s="7" t="str">
        <f t="shared" si="2"/>
        <v>CN</v>
      </c>
      <c r="J18" s="7" t="str">
        <v>AUG</v>
      </c>
    </row>
    <row r="19" spans="1:10" ht="15.75" customHeigh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3" t="str">
        <f t="shared" si="0"/>
        <v>High Price</v>
      </c>
      <c r="H19" s="6" t="str">
        <f t="shared" si="1"/>
        <v>27</v>
      </c>
      <c r="I19" s="6" t="str">
        <f t="shared" si="2"/>
        <v>IT</v>
      </c>
      <c r="J19" s="6" t="str">
        <v>JAN</v>
      </c>
    </row>
    <row r="20" spans="1:10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 t="str">
        <f t="shared" si="0"/>
        <v>Standard Price</v>
      </c>
      <c r="H20" s="6" t="str">
        <f t="shared" si="1"/>
        <v>01</v>
      </c>
      <c r="I20" s="6" t="str">
        <f t="shared" si="2"/>
        <v>UK</v>
      </c>
      <c r="J20" s="6" t="str">
        <v>MAR</v>
      </c>
    </row>
    <row r="21" spans="1:10" ht="15.75" customHeight="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3" t="str">
        <f t="shared" si="0"/>
        <v>Standard Price</v>
      </c>
      <c r="H21" s="7" t="str">
        <f t="shared" si="1"/>
        <v>14</v>
      </c>
      <c r="I21" s="7" t="str">
        <f t="shared" si="2"/>
        <v>US</v>
      </c>
      <c r="J21" s="7" t="str">
        <v>AUG</v>
      </c>
    </row>
    <row r="22" spans="1:10" ht="15.75" customHeight="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 t="str">
        <f t="shared" si="0"/>
        <v>High Price</v>
      </c>
      <c r="H22" s="6" t="str">
        <f t="shared" si="1"/>
        <v>14</v>
      </c>
      <c r="I22" s="6" t="str">
        <f t="shared" si="2"/>
        <v>RU</v>
      </c>
      <c r="J22" s="6" t="str">
        <v>MAY</v>
      </c>
    </row>
    <row r="23" spans="1:10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3" t="str">
        <f t="shared" si="0"/>
        <v>Standard Price</v>
      </c>
      <c r="H23" s="7" t="str">
        <f t="shared" si="1"/>
        <v>09</v>
      </c>
      <c r="I23" s="7" t="str">
        <f t="shared" si="2"/>
        <v>CA</v>
      </c>
      <c r="J23" s="7" t="str">
        <v>JAN</v>
      </c>
    </row>
    <row r="24" spans="1:10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 t="str">
        <f t="shared" si="0"/>
        <v>Standard Price</v>
      </c>
      <c r="H24" s="6" t="str">
        <f t="shared" si="1"/>
        <v>19</v>
      </c>
      <c r="I24" s="6" t="str">
        <f t="shared" si="2"/>
        <v>BR</v>
      </c>
      <c r="J24" s="6" t="str">
        <v>JUL</v>
      </c>
    </row>
    <row r="25" spans="1:10" ht="15.75" customHeight="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3" t="str">
        <f t="shared" si="0"/>
        <v>Standard Price</v>
      </c>
      <c r="H25" s="7" t="str">
        <f t="shared" si="1"/>
        <v>21</v>
      </c>
      <c r="I25" s="7" t="str">
        <f t="shared" si="2"/>
        <v>CA</v>
      </c>
      <c r="J25" s="7" t="str">
        <v>AUG</v>
      </c>
    </row>
    <row r="26" spans="1:10" ht="15.75" customHeight="1" x14ac:dyDescent="0.2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 t="str">
        <f t="shared" si="0"/>
        <v>High Price</v>
      </c>
      <c r="H26" s="6" t="str">
        <f t="shared" si="1"/>
        <v>29</v>
      </c>
      <c r="I26" s="6" t="str">
        <f t="shared" si="2"/>
        <v>CA</v>
      </c>
      <c r="J26" s="6" t="str">
        <v>SEP</v>
      </c>
    </row>
    <row r="27" spans="1:10" ht="15.75" customHeight="1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3" t="str">
        <f t="shared" si="0"/>
        <v>Standard Price</v>
      </c>
      <c r="H27" s="7" t="str">
        <f t="shared" si="1"/>
        <v>03</v>
      </c>
      <c r="I27" s="7" t="str">
        <f t="shared" si="2"/>
        <v>CA</v>
      </c>
      <c r="J27" s="7" t="str">
        <v>JUN</v>
      </c>
    </row>
    <row r="28" spans="1:10" ht="15.75" customHeigh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 t="str">
        <f t="shared" si="0"/>
        <v>Standard Price</v>
      </c>
      <c r="H28" s="6" t="str">
        <f t="shared" si="1"/>
        <v>11</v>
      </c>
      <c r="I28" s="6" t="str">
        <f t="shared" si="2"/>
        <v>CA</v>
      </c>
      <c r="J28" s="6" t="str">
        <v>JUL</v>
      </c>
    </row>
    <row r="29" spans="1:10" ht="15.75" customHeight="1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3" t="str">
        <f t="shared" si="0"/>
        <v>Standard Price</v>
      </c>
      <c r="H29" s="6" t="str">
        <f t="shared" si="1"/>
        <v>16</v>
      </c>
      <c r="I29" s="6" t="str">
        <f t="shared" si="2"/>
        <v>ES</v>
      </c>
      <c r="J29" s="6" t="str">
        <v>APR</v>
      </c>
    </row>
    <row r="30" spans="1:10" ht="15.75" customHeight="1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 t="str">
        <f t="shared" si="0"/>
        <v>Standard Price</v>
      </c>
      <c r="H30" s="7" t="str">
        <f t="shared" si="1"/>
        <v>07</v>
      </c>
      <c r="I30" s="7" t="str">
        <f t="shared" si="2"/>
        <v>CA</v>
      </c>
      <c r="J30" s="7" t="str">
        <v>MAR</v>
      </c>
    </row>
    <row r="31" spans="1:10" ht="15.75" customHeight="1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3" t="str">
        <f t="shared" si="0"/>
        <v>Standard Price</v>
      </c>
      <c r="H31" s="6" t="str">
        <f t="shared" si="1"/>
        <v>13</v>
      </c>
      <c r="I31" s="6" t="str">
        <f t="shared" si="2"/>
        <v>CA</v>
      </c>
      <c r="J31" s="6" t="str">
        <v>APR</v>
      </c>
    </row>
    <row r="32" spans="1:10" ht="15.75" customHeight="1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 t="str">
        <f t="shared" si="0"/>
        <v>Standard Price</v>
      </c>
      <c r="H32" s="7" t="str">
        <f t="shared" si="1"/>
        <v>24</v>
      </c>
      <c r="I32" s="7" t="str">
        <f t="shared" si="2"/>
        <v>CA</v>
      </c>
      <c r="J32" s="7" t="str">
        <v>MAY</v>
      </c>
    </row>
    <row r="33" spans="1:10" ht="15.75" customHeight="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3" t="str">
        <f t="shared" si="0"/>
        <v>Standard Price</v>
      </c>
      <c r="H33" s="6" t="str">
        <f t="shared" si="1"/>
        <v>02</v>
      </c>
      <c r="I33" s="6" t="str">
        <f t="shared" si="2"/>
        <v>CA</v>
      </c>
      <c r="J33" s="6" t="str">
        <v>DEC</v>
      </c>
    </row>
    <row r="34" spans="1:10" ht="15.75" customHeight="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 t="str">
        <f t="shared" si="0"/>
        <v>High Price</v>
      </c>
      <c r="H34" s="7" t="str">
        <f t="shared" si="1"/>
        <v>17</v>
      </c>
      <c r="I34" s="7" t="str">
        <f t="shared" si="2"/>
        <v>IN</v>
      </c>
      <c r="J34" s="7" t="str">
        <v>JUN</v>
      </c>
    </row>
    <row r="35" spans="1:10" ht="15.75" customHeight="1" x14ac:dyDescent="0.2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3" t="str">
        <f t="shared" si="0"/>
        <v>Standard Price</v>
      </c>
      <c r="H35" s="6" t="str">
        <f t="shared" si="1"/>
        <v>09</v>
      </c>
      <c r="I35" s="6" t="str">
        <f t="shared" si="2"/>
        <v>FR</v>
      </c>
      <c r="J35" s="6" t="str"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3220B-D25D-417E-A441-AECF49A1751B}">
  <dimension ref="A1:A12"/>
  <sheetViews>
    <sheetView workbookViewId="0">
      <selection activeCell="A15" sqref="A15"/>
    </sheetView>
  </sheetViews>
  <sheetFormatPr defaultRowHeight="13.2" x14ac:dyDescent="0.25"/>
  <cols>
    <col min="1" max="1" width="86.44140625" customWidth="1"/>
    <col min="2" max="2" width="82.77734375" customWidth="1"/>
  </cols>
  <sheetData>
    <row r="1" spans="1:1" x14ac:dyDescent="0.25">
      <c r="A1" s="12" t="s">
        <v>103</v>
      </c>
    </row>
    <row r="2" spans="1:1" x14ac:dyDescent="0.25">
      <c r="A2" s="13" t="s">
        <v>105</v>
      </c>
    </row>
    <row r="3" spans="1:1" x14ac:dyDescent="0.25">
      <c r="A3" s="13" t="s">
        <v>106</v>
      </c>
    </row>
    <row r="4" spans="1:1" x14ac:dyDescent="0.25">
      <c r="A4" s="13" t="s">
        <v>107</v>
      </c>
    </row>
    <row r="5" spans="1:1" x14ac:dyDescent="0.25">
      <c r="A5" s="13" t="s">
        <v>108</v>
      </c>
    </row>
    <row r="6" spans="1:1" x14ac:dyDescent="0.25">
      <c r="A6" s="13" t="s">
        <v>109</v>
      </c>
    </row>
    <row r="7" spans="1:1" x14ac:dyDescent="0.25">
      <c r="A7" s="13" t="s">
        <v>104</v>
      </c>
    </row>
    <row r="8" spans="1:1" x14ac:dyDescent="0.25">
      <c r="A8" s="13" t="s">
        <v>111</v>
      </c>
    </row>
    <row r="9" spans="1:1" x14ac:dyDescent="0.25">
      <c r="A9" s="13" t="s">
        <v>110</v>
      </c>
    </row>
    <row r="10" spans="1:1" x14ac:dyDescent="0.25">
      <c r="A10" s="13" t="s">
        <v>112</v>
      </c>
    </row>
    <row r="11" spans="1:1" x14ac:dyDescent="0.25">
      <c r="A11" s="13" t="s">
        <v>113</v>
      </c>
    </row>
    <row r="12" spans="1:1" x14ac:dyDescent="0.25">
      <c r="A12" s="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 S</cp:lastModifiedBy>
  <dcterms:modified xsi:type="dcterms:W3CDTF">2026-06-20T09:52:39Z</dcterms:modified>
</cp:coreProperties>
</file>