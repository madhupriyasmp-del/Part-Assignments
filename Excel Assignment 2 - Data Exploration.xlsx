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Data Analyst\Part Assignment\"/>
    </mc:Choice>
  </mc:AlternateContent>
  <xr:revisionPtr revIDLastSave="0" documentId="13_ncr:1_{C5B85A75-4C0A-4BF7-8D87-F851A1C76D81}" xr6:coauthVersionLast="47" xr6:coauthVersionMax="47" xr10:uidLastSave="{00000000-0000-0000-0000-000000000000}"/>
  <bookViews>
    <workbookView xWindow="-108" yWindow="-108" windowWidth="23256" windowHeight="12456" activeTab="1" xr2:uid="{00000000-000D-0000-FFFF-FFFF00000000}"/>
  </bookViews>
  <sheets>
    <sheet name="Raw Dataset" sheetId="5" r:id="rId1"/>
    <sheet name="Cleaned Dataset" sheetId="1" r:id="rId2"/>
    <sheet name="Observations" sheetId="2" r:id="rId3"/>
  </sheets>
  <definedNames>
    <definedName name="_xlnm._FilterDatabase" localSheetId="1" hidden="1">'Cleaned Dataset'!$A$1:$G$33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hJb8T1ZghnA6qFS/bC5j8xshLTM/vtIaNva7vzkMTCI="/>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G12" i="1"/>
  <c r="H12" i="1"/>
  <c r="I2" i="1" a="1"/>
  <c r="I2" i="1" s="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H33" i="1"/>
  <c r="H3" i="1"/>
  <c r="H4" i="1"/>
  <c r="H5" i="1"/>
  <c r="H6" i="1"/>
  <c r="H7" i="1"/>
  <c r="H8" i="1"/>
  <c r="H9" i="1"/>
  <c r="H10" i="1"/>
  <c r="H11" i="1"/>
  <c r="H13" i="1"/>
  <c r="H14" i="1"/>
  <c r="H15" i="1"/>
  <c r="H16" i="1"/>
  <c r="H17" i="1"/>
  <c r="H18" i="1"/>
  <c r="H19" i="1"/>
  <c r="H20" i="1"/>
  <c r="H21" i="1"/>
  <c r="H22" i="1"/>
  <c r="H23" i="1"/>
  <c r="H24" i="1"/>
  <c r="H25" i="1"/>
  <c r="H26" i="1"/>
  <c r="H27" i="1"/>
  <c r="H28" i="1"/>
  <c r="H29" i="1"/>
  <c r="H30" i="1"/>
  <c r="H31" i="1"/>
  <c r="H32" i="1"/>
  <c r="H2" i="1"/>
  <c r="G3" i="1"/>
  <c r="G4" i="1"/>
  <c r="G5" i="1"/>
  <c r="G6" i="1"/>
  <c r="G7" i="1"/>
  <c r="G8" i="1"/>
  <c r="G9" i="1"/>
  <c r="G10" i="1"/>
  <c r="G11" i="1"/>
  <c r="G13" i="1"/>
  <c r="G14" i="1"/>
  <c r="G15" i="1"/>
  <c r="G16" i="1"/>
  <c r="G17" i="1"/>
  <c r="G18" i="1"/>
  <c r="G19" i="1"/>
  <c r="G20" i="1"/>
  <c r="G21" i="1"/>
  <c r="G22" i="1"/>
  <c r="G23" i="1"/>
  <c r="G24" i="1"/>
  <c r="G25" i="1"/>
  <c r="G26" i="1"/>
  <c r="G27" i="1"/>
  <c r="G28" i="1"/>
  <c r="G29" i="1"/>
  <c r="G30" i="1"/>
  <c r="G31" i="1"/>
  <c r="G32" i="1"/>
  <c r="G33" i="1"/>
  <c r="G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<sst xmlns="http://schemas.openxmlformats.org/spreadsheetml/2006/main" count="300" uniqueCount="117">
  <si>
    <t>Product ID</t>
  </si>
  <si>
    <t>Product Name</t>
  </si>
  <si>
    <t>Brand Name</t>
  </si>
  <si>
    <t>Price ($)</t>
  </si>
  <si>
    <t>Quantity</t>
  </si>
  <si>
    <t>Category</t>
  </si>
  <si>
    <t>28-JAN-US</t>
  </si>
  <si>
    <t>Laptop</t>
  </si>
  <si>
    <t>Dell</t>
  </si>
  <si>
    <t>Electronics</t>
  </si>
  <si>
    <t>15-FEB-US</t>
  </si>
  <si>
    <t>Sneakers</t>
  </si>
  <si>
    <t>Nike</t>
  </si>
  <si>
    <t>Fashion</t>
  </si>
  <si>
    <t>03-MAR-US</t>
  </si>
  <si>
    <t>Coffee Maker</t>
  </si>
  <si>
    <t>Keurig</t>
  </si>
  <si>
    <t>Kitchen</t>
  </si>
  <si>
    <t>11-APR-US</t>
  </si>
  <si>
    <t>Smartphone</t>
  </si>
  <si>
    <t>Samsung</t>
  </si>
  <si>
    <t>22-MAY-US</t>
  </si>
  <si>
    <t>Backpack</t>
  </si>
  <si>
    <t>North Face</t>
  </si>
  <si>
    <t>Outdoor</t>
  </si>
  <si>
    <t>07-JUN-UK</t>
  </si>
  <si>
    <t>Headphones</t>
  </si>
  <si>
    <t>Sony</t>
  </si>
  <si>
    <t>19-JUL-UK</t>
  </si>
  <si>
    <t>T-shirt</t>
  </si>
  <si>
    <t>Adidas</t>
  </si>
  <si>
    <t>23-AUG-UK</t>
  </si>
  <si>
    <t>Blender</t>
  </si>
  <si>
    <t>Ninja</t>
  </si>
  <si>
    <t>05-SEP-UK</t>
  </si>
  <si>
    <t>Tablet</t>
  </si>
  <si>
    <t>Apple</t>
  </si>
  <si>
    <t>14-OCT-UK</t>
  </si>
  <si>
    <t>Hiking Boots</t>
  </si>
  <si>
    <t>Timberland</t>
  </si>
  <si>
    <t>17-JUN-IN</t>
  </si>
  <si>
    <t>HP</t>
  </si>
  <si>
    <t>25-NOV-AU</t>
  </si>
  <si>
    <t>08-DEC-DE</t>
  </si>
  <si>
    <t>Nespresso</t>
  </si>
  <si>
    <t>18-FEB-CA</t>
  </si>
  <si>
    <t>Smartwatch</t>
  </si>
  <si>
    <t>Fitbit</t>
  </si>
  <si>
    <t>16-APR-ES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</si>
  <si>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</si>
  <si>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</si>
  <si>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</si>
  <si>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</si>
  <si>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</si>
  <si>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</si>
  <si>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</si>
  <si>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</si>
  <si>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</si>
  <si>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</si>
  <si>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</si>
  <si>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</si>
  <si>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</si>
  <si>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</si>
  <si>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</si>
  <si>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</si>
  <si>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</si>
  <si>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</si>
  <si>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</si>
  <si>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</si>
  <si>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</si>
  <si>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</si>
  <si>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</si>
  <si>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</si>
  <si>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</si>
  <si>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</si>
  <si>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</si>
  <si>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</si>
  <si>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</si>
  <si>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</si>
  <si>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</si>
  <si>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</si>
  <si>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</si>
  <si>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</si>
  <si>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</si>
  <si>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</si>
  <si>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</si>
  <si>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</si>
  <si>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</si>
  <si>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</si>
  <si>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</si>
  <si>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</si>
  <si>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</si>
  <si>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</si>
  <si>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Obesrvations</t>
  </si>
  <si>
    <t>Missing Value in Category()</t>
  </si>
  <si>
    <t xml:space="preserve">Missing Value for Category </t>
  </si>
  <si>
    <r>
      <t xml:space="preserve">1) There is </t>
    </r>
    <r>
      <rPr>
        <b/>
        <sz val="10"/>
        <color rgb="FF000000"/>
        <rFont val="Arial"/>
        <family val="2"/>
        <scheme val="minor"/>
      </rPr>
      <t>no missing values in price column</t>
    </r>
    <r>
      <rPr>
        <sz val="10"/>
        <color rgb="FF000000"/>
        <rFont val="Arial"/>
        <family val="2"/>
        <scheme val="minor"/>
      </rPr>
      <t xml:space="preserve">.Used </t>
    </r>
    <r>
      <rPr>
        <b/>
        <sz val="10"/>
        <color rgb="FF000000"/>
        <rFont val="Arial"/>
        <family val="2"/>
        <scheme val="minor"/>
      </rPr>
      <t>ISBLANK()</t>
    </r>
    <r>
      <rPr>
        <sz val="10"/>
        <color rgb="FF000000"/>
        <rFont val="Arial"/>
        <family val="2"/>
        <scheme val="minor"/>
      </rPr>
      <t xml:space="preserve"> function in </t>
    </r>
    <r>
      <rPr>
        <b/>
        <sz val="10"/>
        <color rgb="FF000000"/>
        <rFont val="Arial"/>
        <family val="2"/>
        <scheme val="minor"/>
      </rPr>
      <t>column G</t>
    </r>
    <r>
      <rPr>
        <sz val="10"/>
        <color rgb="FF000000"/>
        <rFont val="Arial"/>
        <family val="2"/>
        <scheme val="minor"/>
      </rPr>
      <t>. If any Missing value found we can use mean to replace value if there is no outliers else we can with median to handle it.There are several ways to find missing values. 1.=ISBALNK() ,2.Ctrl+G---&gt;Special---&gt;Blanks---&gt;OK, 3.Filter, 4. Ctrl+F--&gt;NULL(IF it is null instead of blank).</t>
    </r>
  </si>
  <si>
    <t>2) There is no missing value in category. Usually we use mode to replace missing value for categorical data, in this case we can handle missing value base on product name Column B. Functions has added in Column I. If we remove any category in column F Column I will show the correct category.</t>
  </si>
  <si>
    <t>1.Handling Missing Values:</t>
  </si>
  <si>
    <t>2. Correcting Inconsistent Data:</t>
  </si>
  <si>
    <t>3.Removing Duplicates:</t>
  </si>
  <si>
    <t>Missing value in Price</t>
  </si>
  <si>
    <t>4.Splitting and Merging Data:</t>
  </si>
  <si>
    <t>Manufacturing Date</t>
  </si>
  <si>
    <t>Country Code</t>
  </si>
  <si>
    <t>1) Manufacturing Date splitted from "Product ID" using =Left() function In column J</t>
  </si>
  <si>
    <t>Product Brand</t>
  </si>
  <si>
    <t>2) Country Code splitted from "Product ID" using =Right() function In column K</t>
  </si>
  <si>
    <t>3) "Brand Name" and "Product Name" merged using =CONCATENATE() function in column L</t>
  </si>
  <si>
    <t>5.Number Formatting:</t>
  </si>
  <si>
    <t>1) Price Column Date type changed to currncy format using Select Price column---&gt;Home--&gt;Number---&gt;Currency.</t>
  </si>
  <si>
    <t>2) Manufacturing Date Date type changes to date format using Select Price column---&gt;Home---&gt;Number---&gt;Date(Short Date)</t>
  </si>
  <si>
    <t>6.Conditional Formatting:</t>
  </si>
  <si>
    <t>1)Data bars applied to Price column  through Select Price Column---&gt;Home---&gt;Conditional Formatting---&gt;Data Bars</t>
  </si>
  <si>
    <t>2)"Electronics" in category column highlighted through select Category column----&gt;Home---&gt;Conditional Formatting---&gt;Highlight cell rules---&gt;Equals to----&gt; Electronics---&gt;ok</t>
  </si>
  <si>
    <t>1) Row no 25 and 34 is a duplicate this has been removed using Data--&gt; Remove duplicates. I have highlighted duplicate Product ID in raw dataset I could find 3 duplicates in product id among these 3 only 2 are actual duplicates because 16-APR-ES,Headphones, Bose has different Price.</t>
  </si>
  <si>
    <t>Inconsistent Data or typo not present in "Product Name" and "Category" column. If anything available we can use find and replace and filter option to fix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</si>
</sst>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quot;₹&quot;\ #,##0"/>
    <numFmt numFmtId="169" formatCode="[$-F800]dddd\,\ mmmm\ dd\,\ yyyy"/>
  </numFmts>
  <fonts count="9" x14ac:knownFonts="1">
    <font>
      <sz val="10"/>
      <color rgb="FF000000"/>
      <name val="Arial"/>
      <scheme val="minor"/>
    </font>
    <font>
      <b/>
      <sz val="10"/>
      <color theme="1"/>
      <name val="Arial"/>
    </font>
    <font>
      <sz val="10"/>
      <color theme="1"/>
      <name val="Arial"/>
    </font>
    <font>
      <sz val="10"/>
      <color theme="1"/>
      <name val="Arial"/>
      <family val="2"/>
    </font>
    <font>
      <b/>
      <sz val="12"/>
      <color rgb="FF000000"/>
      <name val="Arial"/>
      <family val="2"/>
      <scheme val="minor"/>
    </font>
    <font>
      <sz val="10"/>
      <color rgb="FF000000"/>
      <name val="Arial"/>
      <family val="2"/>
      <scheme val="minor"/>
    </font>
    <font>
      <b/>
      <sz val="10"/>
      <color theme="1"/>
      <name val="Arial"/>
      <family val="2"/>
    </font>
    <font>
      <b/>
      <sz val="10"/>
      <color rgb="FF000000"/>
      <name val="Arial"/>
      <family val="2"/>
      <scheme val="minor"/>
    </font>
    <font>
      <sz val="8"/>
      <name val="Arial"/>
      <family val="2"/>
      <scheme val="minor"/>
    </font>
  </fonts>
  <fills count="7">
    <fill>
      <patternFill patternType="none"/>
    </fill>
    <fill>
      <patternFill patternType="gray125"/>
    </fill>
    <fill>
      <patternFill patternType="solid">
        <fgColor rgb="FF4DD0E1"/>
        <bgColor rgb="FF4DD0E1"/>
      </patternFill>
    </fill>
    <fill>
      <patternFill patternType="solid">
        <fgColor rgb="FFE0F7FA"/>
        <bgColor rgb="FFE0F7FA"/>
      </patternFill>
    </fill>
    <fill>
      <patternFill patternType="solid">
        <fgColor theme="8" tint="0.79998168889431442"/>
        <bgColor indexed="64"/>
      </patternFill>
    </fill>
    <fill>
      <patternFill patternType="solid">
        <fgColor theme="6" tint="0.79998168889431442"/>
        <bgColor indexed="64"/>
      </patternFill>
    </fill>
    <fill>
      <patternFill patternType="solid">
        <fgColor theme="8" tint="0.79998168889431442"/>
        <bgColor rgb="FFE0F7FA"/>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0">
    <xf numFmtId="0" fontId="0" fillId="0" borderId="0" xfId="0"/>
    <xf numFmtId="0" fontId="2" fillId="4" borderId="1" xfId="0" applyFont="1" applyFill="1" applyBorder="1"/>
    <xf numFmtId="0" fontId="1" fillId="2" borderId="1" xfId="0" applyFont="1" applyFill="1" applyBorder="1" applyAlignment="1">
      <alignment horizontal="center"/>
    </xf>
    <xf numFmtId="0" fontId="2" fillId="0" borderId="1" xfId="0" applyFont="1" applyBorder="1"/>
    <xf numFmtId="0" fontId="2" fillId="3" borderId="1" xfId="0" applyFont="1" applyFill="1" applyBorder="1"/>
    <xf numFmtId="0" fontId="5" fillId="0" borderId="0" xfId="0" applyFont="1" applyAlignment="1">
      <alignment wrapText="1"/>
    </xf>
    <xf numFmtId="0" fontId="1" fillId="2" borderId="3" xfId="0" applyFont="1" applyFill="1" applyBorder="1" applyAlignment="1">
      <alignment horizontal="center"/>
    </xf>
    <xf numFmtId="0" fontId="2" fillId="0" borderId="3" xfId="0" applyFont="1" applyBorder="1"/>
    <xf numFmtId="0" fontId="2" fillId="3" borderId="3" xfId="0" applyFont="1" applyFill="1" applyBorder="1"/>
    <xf numFmtId="0" fontId="6" fillId="2" borderId="4" xfId="0" applyFont="1" applyFill="1" applyBorder="1" applyAlignment="1">
      <alignment horizontal="center"/>
    </xf>
    <xf numFmtId="0" fontId="2" fillId="4" borderId="5" xfId="0" applyFont="1" applyFill="1" applyBorder="1"/>
    <xf numFmtId="0" fontId="3" fillId="3" borderId="1" xfId="0" applyFont="1" applyFill="1" applyBorder="1"/>
    <xf numFmtId="0" fontId="3" fillId="0" borderId="1" xfId="0" applyFont="1" applyBorder="1"/>
    <xf numFmtId="0" fontId="4" fillId="0" borderId="0" xfId="0" applyFont="1" applyAlignment="1">
      <alignment horizontal="center" wrapText="1"/>
    </xf>
    <xf numFmtId="0" fontId="0" fillId="0" borderId="0" xfId="0" applyAlignment="1">
      <alignment wrapText="1"/>
    </xf>
    <xf numFmtId="0" fontId="4" fillId="5" borderId="0" xfId="0" applyFont="1" applyFill="1" applyAlignment="1">
      <alignment horizontal="center" wrapText="1"/>
    </xf>
    <xf numFmtId="0" fontId="1" fillId="2" borderId="2" xfId="0" applyFont="1" applyFill="1" applyBorder="1" applyAlignment="1">
      <alignment horizontal="center"/>
    </xf>
    <xf numFmtId="167" fontId="2" fillId="0" borderId="1" xfId="0" applyNumberFormat="1" applyFont="1" applyBorder="1"/>
    <xf numFmtId="167" fontId="2" fillId="3" borderId="1" xfId="0" applyNumberFormat="1" applyFont="1" applyFill="1" applyBorder="1"/>
    <xf numFmtId="167" fontId="0" fillId="0" borderId="0" xfId="0" applyNumberFormat="1"/>
    <xf numFmtId="0" fontId="1" fillId="2" borderId="1" xfId="0" applyNumberFormat="1" applyFont="1" applyFill="1" applyBorder="1" applyAlignment="1">
      <alignment horizontal="center"/>
    </xf>
    <xf numFmtId="0" fontId="6" fillId="2" borderId="1" xfId="0" applyFont="1" applyFill="1" applyBorder="1" applyAlignment="1">
      <alignment horizontal="center"/>
    </xf>
    <xf numFmtId="0" fontId="1" fillId="2" borderId="6" xfId="0" applyNumberFormat="1" applyFont="1" applyFill="1" applyBorder="1" applyAlignment="1"/>
    <xf numFmtId="0" fontId="1" fillId="2" borderId="6" xfId="0" applyFont="1" applyFill="1" applyBorder="1" applyAlignment="1"/>
    <xf numFmtId="169" fontId="0" fillId="0" borderId="0" xfId="0" applyNumberFormat="1" applyBorder="1" applyAlignment="1"/>
    <xf numFmtId="0" fontId="0" fillId="0" borderId="0" xfId="0" applyBorder="1" applyAlignment="1"/>
    <xf numFmtId="0" fontId="3" fillId="6" borderId="1" xfId="0" applyFont="1" applyFill="1" applyBorder="1"/>
    <xf numFmtId="169" fontId="2" fillId="6" borderId="1" xfId="0" applyNumberFormat="1" applyFont="1" applyFill="1" applyBorder="1" applyAlignment="1"/>
    <xf numFmtId="0" fontId="2" fillId="6" borderId="1" xfId="0" applyFont="1" applyFill="1" applyBorder="1" applyAlignment="1"/>
    <xf numFmtId="0" fontId="2" fillId="6" borderId="1" xfId="0" applyFont="1" applyFill="1" applyBorder="1"/>
  </cellXfs>
  <cellStyles count="1">
    <cellStyle name="Normal" xfId="0" builtinId="0"/>
  </cellStyles>
  <dxfs count="29">
    <dxf>
      <font>
        <b val="0"/>
        <i val="0"/>
        <strike val="0"/>
        <condense val="0"/>
        <extend val="0"/>
        <outline val="0"/>
        <shadow val="0"/>
        <u val="none"/>
        <vertAlign val="baseline"/>
        <sz val="10"/>
        <color theme="1"/>
        <name val="Arial"/>
        <scheme val="none"/>
      </font>
      <numFmt numFmtId="0" formatCode="General"/>
      <fill>
        <patternFill patternType="solid">
          <fgColor rgb="FFE0F7FA"/>
          <bgColor theme="8"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0" formatCode="General"/>
      <fill>
        <patternFill patternType="solid">
          <fgColor rgb="FFE0F7FA"/>
          <bgColor theme="8" tint="0.79998168889431442"/>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169" formatCode="[$-F800]dddd\,\ mmmm\ dd\,\ yyyy"/>
      <fill>
        <patternFill patternType="solid">
          <fgColor rgb="FFE0F7FA"/>
          <bgColor theme="8" tint="0.79998168889431442"/>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0" formatCode="General"/>
      <fill>
        <patternFill patternType="solid">
          <fgColor rgb="FFE0F7FA"/>
          <bgColor theme="8"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Arial"/>
        <scheme val="none"/>
      </font>
      <numFmt numFmtId="167" formatCode="&quot;₹&quot;\ #,##0"/>
      <fill>
        <patternFill patternType="solid">
          <fgColor rgb="FFE0F7FA"/>
          <bgColor rgb="FFE0F7FA"/>
        </patternFill>
      </fill>
      <border diagonalUp="0" diagonalDown="0" outline="0">
        <left style="thin">
          <color indexed="64"/>
        </left>
        <right style="thin">
          <color indexed="64"/>
        </right>
        <top style="thin">
          <color indexed="64"/>
        </top>
        <bottom style="thin">
          <color indexed="64"/>
        </bottom>
      </border>
    </dxf>
    <dxf>
      <font>
        <color rgb="FF9C0006"/>
      </font>
      <fill>
        <patternFill>
          <bgColor rgb="FFFFC7CE"/>
        </patternFill>
      </fill>
    </dxf>
    <dxf>
      <font>
        <b val="0"/>
        <i val="0"/>
        <strike val="0"/>
        <condense val="0"/>
        <extend val="0"/>
        <outline val="0"/>
        <shadow val="0"/>
        <u val="none"/>
        <vertAlign val="baseline"/>
        <sz val="10"/>
        <color theme="1"/>
        <name val="Arial"/>
        <scheme val="none"/>
      </font>
      <fill>
        <patternFill patternType="solid">
          <fgColor indexed="64"/>
          <bgColor theme="8"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fill>
        <patternFill patternType="solid">
          <fgColor rgb="FFE0F7FA"/>
          <bgColor rgb="FFE0F7FA"/>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fill>
        <patternFill patternType="solid">
          <fgColor rgb="FFE0F7FA"/>
          <bgColor rgb="FFE0F7FA"/>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fill>
        <patternFill patternType="solid">
          <fgColor rgb="FFE0F7FA"/>
          <bgColor rgb="FFE0F7FA"/>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fill>
        <patternFill patternType="solid">
          <fgColor rgb="FFE0F7FA"/>
          <bgColor rgb="FFE0F7FA"/>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fill>
        <patternFill patternType="solid">
          <fgColor rgb="FFE0F7FA"/>
          <bgColor rgb="FFE0F7FA"/>
        </patternFill>
      </fill>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0"/>
        <color theme="1"/>
        <name val="Arial"/>
        <scheme val="none"/>
      </font>
      <fill>
        <patternFill patternType="solid">
          <fgColor rgb="FFE0F7FA"/>
          <bgColor rgb="FFE0F7FA"/>
        </patternFill>
      </fill>
    </dxf>
    <dxf>
      <font>
        <b/>
        <i val="0"/>
        <strike val="0"/>
        <condense val="0"/>
        <extend val="0"/>
        <outline val="0"/>
        <shadow val="0"/>
        <u val="none"/>
        <vertAlign val="baseline"/>
        <sz val="10"/>
        <color theme="1"/>
        <name val="Arial"/>
        <scheme val="none"/>
      </font>
      <fill>
        <patternFill patternType="solid">
          <fgColor rgb="FF4DD0E1"/>
          <bgColor rgb="FF4DD0E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customschemas.google.com/relationships/workbookmetadata" Target="metadata"/><Relationship Id="rId10" Type="http://schemas.openxmlformats.org/officeDocument/2006/relationships/calcChain" Target="calcChain.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EAAA7A-F793-4FB1-BD04-3344CCB7CDBC}" name="Table1" displayName="Table1" ref="A1:L33" totalsRowShown="0" headerRowDxfId="28" dataDxfId="27" tableBorderDxfId="26">
  <autoFilter ref="A1:L33" xr:uid="{EFEAAA7A-F793-4FB1-BD04-3344CCB7CDBC}"/>
  <tableColumns count="12">
    <tableColumn id="1" xr3:uid="{2752F16C-58E9-44BE-A76B-E9AA78BE8C9E}" name="Product ID" dataDxfId="25"/>
    <tableColumn id="2" xr3:uid="{5B061F5A-BA13-4F91-A76D-C766B58CACA4}" name="Product Name" dataDxfId="24"/>
    <tableColumn id="3" xr3:uid="{B768E244-60EC-44FC-B627-550BE2C59689}" name="Brand Name" dataDxfId="23"/>
    <tableColumn id="4" xr3:uid="{B60C9354-B22A-4BEC-9F78-1CAACF0B0D9F}" name="Price ($)" dataDxfId="18"/>
    <tableColumn id="5" xr3:uid="{4A54F664-9D8D-4D4B-966A-A435A230300D}" name="Quantity" dataDxfId="22"/>
    <tableColumn id="6" xr3:uid="{D58C9028-3D6F-41F2-9353-55546F9C4635}" name="Category" dataDxfId="21"/>
    <tableColumn id="7" xr3:uid="{831915F4-FE24-4CAF-BCFE-3C10F0908071}" name="Missing value in Price" dataDxfId="20">
      <calculatedColumnFormula>ISBLANK(D2)</calculatedColumnFormula>
    </tableColumn>
    <tableColumn id="8" xr3:uid="{E7D5F2F7-F519-4897-BAE1-1B359654A8DD}" name="Missing Value in Category()" dataDxfId="4">
      <calculatedColumnFormula>ISBLANK(F2)</calculatedColumnFormula>
    </tableColumn>
    <tableColumn id="9" xr3:uid="{3A903FA1-63EC-4FFD-9333-BCDFAAA9AB89}" name="Missing Value for Category " dataDxfId="3">
      <calculatedColumnFormula array="1">IF(
Table1[[#This Row],[Category]]&lt;&gt;"",
Table1[[#This Row],[Category]],
_xlfn.XLOOKUP(
Table1[[#This Row],[Product Name]],
_xlfn._xlws.FILTER(Table1[Product Name],Table1[Category]&lt;&gt;""),
_xlfn._xlws.FILTER(Table1[Category],Table1[Category]&lt;&gt;""),
""))</calculatedColumnFormula>
    </tableColumn>
    <tableColumn id="10" xr3:uid="{EAFFC327-2126-41E9-8039-E09AF9D30123}" name="Manufacturing Date" dataDxfId="2">
      <calculatedColumnFormula>LEFT(Table1[[#This Row],[Product ID]],6)</calculatedColumnFormula>
    </tableColumn>
    <tableColumn id="11" xr3:uid="{8E2E7311-4488-4BB0-A13D-CDEEBB254331}" name="Country Code" dataDxfId="1">
      <calculatedColumnFormula>RIGHT(Table1[[#This Row],[Product ID]],2)</calculatedColumnFormula>
    </tableColumn>
    <tableColumn id="12" xr3:uid="{385BB9F7-7F34-467E-A11E-2CFFD9EAF3CB}" name="Product Brand" dataDxfId="0">
      <calculatedColumnFormula>CONCATENATE(Table1[[#This Row],[Brand Name]]," ",Table1[[#This Row],[Product Name]])</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4A4D-0169-4A4D-9283-7391E2A93FF6}">
  <dimension ref="A1:F35"/>
  <sheetViews>
    <sheetView workbookViewId="0">
      <selection activeCell="D1" sqref="D1"/>
    </sheetView>
  </sheetViews>
  <sheetFormatPr defaultRowHeight="13.2" x14ac:dyDescent="0.25"/>
  <cols>
    <col min="1" max="1" width="18.88671875" customWidth="1"/>
    <col min="2" max="2" width="17.5546875" customWidth="1"/>
    <col min="3" max="3" width="13.5546875" customWidth="1"/>
    <col min="4" max="4" width="11.33203125" customWidth="1"/>
    <col min="5" max="5" width="11.6640625" customWidth="1"/>
    <col min="6" max="6" width="13.5546875" customWidth="1"/>
  </cols>
  <sheetData>
    <row r="1" spans="1:6" x14ac:dyDescent="0.25">
      <c r="A1" s="2" t="s">
        <v>0</v>
      </c>
      <c r="B1" s="2" t="s">
        <v>1</v>
      </c>
      <c r="C1" s="2" t="s">
        <v>2</v>
      </c>
      <c r="D1" s="2" t="s">
        <v>3</v>
      </c>
      <c r="E1" s="2" t="s">
        <v>4</v>
      </c>
      <c r="F1" s="2" t="s">
        <v>5</v>
      </c>
    </row>
    <row r="2" spans="1:6" x14ac:dyDescent="0.25">
      <c r="A2" s="3" t="s">
        <v>6</v>
      </c>
      <c r="B2" s="3" t="s">
        <v>7</v>
      </c>
      <c r="C2" s="3" t="s">
        <v>8</v>
      </c>
      <c r="D2" s="3">
        <v>1000</v>
      </c>
      <c r="E2" s="3">
        <v>30</v>
      </c>
      <c r="F2" s="3" t="s">
        <v>9</v>
      </c>
    </row>
    <row r="3" spans="1:6" x14ac:dyDescent="0.25">
      <c r="A3" s="4" t="s">
        <v>10</v>
      </c>
      <c r="B3" s="4" t="s">
        <v>11</v>
      </c>
      <c r="C3" s="4" t="s">
        <v>12</v>
      </c>
      <c r="D3" s="4">
        <v>80</v>
      </c>
      <c r="E3" s="4">
        <v>15</v>
      </c>
      <c r="F3" s="4" t="s">
        <v>13</v>
      </c>
    </row>
    <row r="4" spans="1:6" x14ac:dyDescent="0.25">
      <c r="A4" s="3" t="s">
        <v>14</v>
      </c>
      <c r="B4" s="3" t="s">
        <v>15</v>
      </c>
      <c r="C4" s="3" t="s">
        <v>16</v>
      </c>
      <c r="D4" s="3">
        <v>130</v>
      </c>
      <c r="E4" s="3">
        <v>40</v>
      </c>
      <c r="F4" s="3" t="s">
        <v>17</v>
      </c>
    </row>
    <row r="5" spans="1:6" x14ac:dyDescent="0.25">
      <c r="A5" s="4" t="s">
        <v>18</v>
      </c>
      <c r="B5" s="4" t="s">
        <v>19</v>
      </c>
      <c r="C5" s="4" t="s">
        <v>20</v>
      </c>
      <c r="D5" s="4">
        <v>900</v>
      </c>
      <c r="E5" s="4">
        <v>25</v>
      </c>
      <c r="F5" s="4" t="s">
        <v>9</v>
      </c>
    </row>
    <row r="6" spans="1:6" x14ac:dyDescent="0.25">
      <c r="A6" s="3" t="s">
        <v>21</v>
      </c>
      <c r="B6" s="3" t="s">
        <v>22</v>
      </c>
      <c r="C6" s="3" t="s">
        <v>23</v>
      </c>
      <c r="D6" s="3">
        <v>70</v>
      </c>
      <c r="E6" s="3">
        <v>20</v>
      </c>
      <c r="F6" s="3" t="s">
        <v>24</v>
      </c>
    </row>
    <row r="7" spans="1:6" x14ac:dyDescent="0.25">
      <c r="A7" s="4" t="s">
        <v>25</v>
      </c>
      <c r="B7" s="4" t="s">
        <v>26</v>
      </c>
      <c r="C7" s="4" t="s">
        <v>27</v>
      </c>
      <c r="D7" s="4">
        <v>200</v>
      </c>
      <c r="E7" s="4">
        <v>45</v>
      </c>
      <c r="F7" s="4" t="s">
        <v>9</v>
      </c>
    </row>
    <row r="8" spans="1:6" x14ac:dyDescent="0.25">
      <c r="A8" s="3" t="s">
        <v>28</v>
      </c>
      <c r="B8" s="3" t="s">
        <v>29</v>
      </c>
      <c r="C8" s="3" t="s">
        <v>30</v>
      </c>
      <c r="D8" s="3">
        <v>30</v>
      </c>
      <c r="E8" s="3">
        <v>5</v>
      </c>
      <c r="F8" s="3" t="s">
        <v>13</v>
      </c>
    </row>
    <row r="9" spans="1:6" x14ac:dyDescent="0.25">
      <c r="A9" s="4" t="s">
        <v>31</v>
      </c>
      <c r="B9" s="4" t="s">
        <v>32</v>
      </c>
      <c r="C9" s="4" t="s">
        <v>33</v>
      </c>
      <c r="D9" s="4">
        <v>90</v>
      </c>
      <c r="E9" s="4">
        <v>35</v>
      </c>
      <c r="F9" s="4" t="s">
        <v>17</v>
      </c>
    </row>
    <row r="10" spans="1:6" x14ac:dyDescent="0.25">
      <c r="A10" s="3" t="s">
        <v>34</v>
      </c>
      <c r="B10" s="3" t="s">
        <v>35</v>
      </c>
      <c r="C10" s="3" t="s">
        <v>36</v>
      </c>
      <c r="D10" s="3">
        <v>500</v>
      </c>
      <c r="E10" s="3">
        <v>50</v>
      </c>
      <c r="F10" s="3" t="s">
        <v>9</v>
      </c>
    </row>
    <row r="11" spans="1:6" x14ac:dyDescent="0.25">
      <c r="A11" s="4" t="s">
        <v>37</v>
      </c>
      <c r="B11" s="4" t="s">
        <v>38</v>
      </c>
      <c r="C11" s="4" t="s">
        <v>39</v>
      </c>
      <c r="D11" s="4">
        <v>130</v>
      </c>
      <c r="E11" s="4">
        <v>10</v>
      </c>
      <c r="F11" s="4" t="s">
        <v>24</v>
      </c>
    </row>
    <row r="12" spans="1:6" x14ac:dyDescent="0.25">
      <c r="A12" s="3" t="s">
        <v>40</v>
      </c>
      <c r="B12" s="3" t="s">
        <v>7</v>
      </c>
      <c r="C12" s="3" t="s">
        <v>41</v>
      </c>
      <c r="D12" s="3">
        <v>950</v>
      </c>
      <c r="E12" s="3">
        <v>25</v>
      </c>
      <c r="F12" s="3" t="s">
        <v>9</v>
      </c>
    </row>
    <row r="13" spans="1:6" x14ac:dyDescent="0.25">
      <c r="A13" s="4" t="s">
        <v>42</v>
      </c>
      <c r="B13" s="4" t="s">
        <v>11</v>
      </c>
      <c r="C13" s="4" t="s">
        <v>30</v>
      </c>
      <c r="D13" s="4">
        <v>90</v>
      </c>
      <c r="E13" s="4">
        <v>40</v>
      </c>
      <c r="F13" s="4" t="s">
        <v>13</v>
      </c>
    </row>
    <row r="14" spans="1:6" x14ac:dyDescent="0.25">
      <c r="A14" s="3" t="s">
        <v>43</v>
      </c>
      <c r="B14" s="3" t="s">
        <v>15</v>
      </c>
      <c r="C14" s="3" t="s">
        <v>44</v>
      </c>
      <c r="D14" s="3">
        <v>120</v>
      </c>
      <c r="E14" s="3">
        <v>35</v>
      </c>
      <c r="F14" s="3" t="s">
        <v>17</v>
      </c>
    </row>
    <row r="15" spans="1:6" x14ac:dyDescent="0.25">
      <c r="A15" s="4" t="s">
        <v>45</v>
      </c>
      <c r="B15" s="4" t="s">
        <v>46</v>
      </c>
      <c r="C15" s="4" t="s">
        <v>47</v>
      </c>
      <c r="D15" s="4">
        <v>150</v>
      </c>
      <c r="E15" s="4">
        <v>15</v>
      </c>
      <c r="F15" s="4" t="s">
        <v>9</v>
      </c>
    </row>
    <row r="16" spans="1:6" x14ac:dyDescent="0.25">
      <c r="A16" s="3" t="s">
        <v>48</v>
      </c>
      <c r="B16" s="3" t="s">
        <v>26</v>
      </c>
      <c r="C16" s="3" t="s">
        <v>49</v>
      </c>
      <c r="D16" s="3">
        <v>250</v>
      </c>
      <c r="E16" s="3">
        <v>20</v>
      </c>
      <c r="F16" s="3" t="s">
        <v>9</v>
      </c>
    </row>
    <row r="17" spans="1:6" x14ac:dyDescent="0.25">
      <c r="A17" s="4" t="s">
        <v>50</v>
      </c>
      <c r="B17" s="4" t="s">
        <v>51</v>
      </c>
      <c r="C17" s="4" t="s">
        <v>52</v>
      </c>
      <c r="D17" s="4">
        <v>50</v>
      </c>
      <c r="E17" s="4">
        <v>35</v>
      </c>
      <c r="F17" s="4" t="s">
        <v>53</v>
      </c>
    </row>
    <row r="18" spans="1:6" x14ac:dyDescent="0.25">
      <c r="A18" s="3" t="s">
        <v>54</v>
      </c>
      <c r="B18" s="3" t="s">
        <v>46</v>
      </c>
      <c r="C18" s="3" t="s">
        <v>55</v>
      </c>
      <c r="D18" s="3">
        <v>160</v>
      </c>
      <c r="E18" s="3">
        <v>15</v>
      </c>
      <c r="F18" s="3" t="s">
        <v>9</v>
      </c>
    </row>
    <row r="19" spans="1:6" x14ac:dyDescent="0.25">
      <c r="A19" s="4" t="s">
        <v>56</v>
      </c>
      <c r="B19" s="4" t="s">
        <v>7</v>
      </c>
      <c r="C19" s="4" t="s">
        <v>57</v>
      </c>
      <c r="D19" s="4">
        <v>980</v>
      </c>
      <c r="E19" s="4">
        <v>10</v>
      </c>
      <c r="F19" s="4" t="s">
        <v>9</v>
      </c>
    </row>
    <row r="20" spans="1:6" x14ac:dyDescent="0.25">
      <c r="A20" s="3" t="s">
        <v>58</v>
      </c>
      <c r="B20" s="3" t="s">
        <v>59</v>
      </c>
      <c r="C20" s="3" t="s">
        <v>60</v>
      </c>
      <c r="D20" s="3">
        <v>150</v>
      </c>
      <c r="E20" s="3">
        <v>15</v>
      </c>
      <c r="F20" s="3" t="s">
        <v>13</v>
      </c>
    </row>
    <row r="21" spans="1:6" x14ac:dyDescent="0.25">
      <c r="A21" s="4" t="s">
        <v>61</v>
      </c>
      <c r="B21" s="4" t="s">
        <v>62</v>
      </c>
      <c r="C21" s="4" t="s">
        <v>63</v>
      </c>
      <c r="D21" s="4">
        <v>200</v>
      </c>
      <c r="E21" s="4">
        <v>10</v>
      </c>
      <c r="F21" s="4" t="s">
        <v>24</v>
      </c>
    </row>
    <row r="22" spans="1:6" x14ac:dyDescent="0.25">
      <c r="A22" s="3" t="s">
        <v>64</v>
      </c>
      <c r="B22" s="3" t="s">
        <v>65</v>
      </c>
      <c r="C22" s="3" t="s">
        <v>66</v>
      </c>
      <c r="D22" s="3">
        <v>700</v>
      </c>
      <c r="E22" s="3">
        <v>50</v>
      </c>
      <c r="F22" s="3" t="s">
        <v>9</v>
      </c>
    </row>
    <row r="23" spans="1:6" x14ac:dyDescent="0.25">
      <c r="A23" s="4" t="s">
        <v>67</v>
      </c>
      <c r="B23" s="4" t="s">
        <v>68</v>
      </c>
      <c r="C23" s="4" t="s">
        <v>69</v>
      </c>
      <c r="D23" s="4">
        <v>80</v>
      </c>
      <c r="E23" s="4">
        <v>20</v>
      </c>
      <c r="F23" s="4" t="s">
        <v>17</v>
      </c>
    </row>
    <row r="24" spans="1:6" x14ac:dyDescent="0.25">
      <c r="A24" s="3" t="s">
        <v>70</v>
      </c>
      <c r="B24" s="3" t="s">
        <v>71</v>
      </c>
      <c r="C24" s="3" t="s">
        <v>72</v>
      </c>
      <c r="D24" s="3">
        <v>150</v>
      </c>
      <c r="E24" s="3">
        <v>30</v>
      </c>
      <c r="F24" s="3" t="s">
        <v>9</v>
      </c>
    </row>
    <row r="25" spans="1:6" x14ac:dyDescent="0.25">
      <c r="A25" s="4" t="s">
        <v>50</v>
      </c>
      <c r="B25" s="4" t="s">
        <v>51</v>
      </c>
      <c r="C25" s="4" t="s">
        <v>52</v>
      </c>
      <c r="D25" s="4">
        <v>50</v>
      </c>
      <c r="E25" s="4">
        <v>35</v>
      </c>
      <c r="F25" s="4" t="s">
        <v>53</v>
      </c>
    </row>
    <row r="26" spans="1:6" x14ac:dyDescent="0.25">
      <c r="A26" s="3" t="s">
        <v>73</v>
      </c>
      <c r="B26" s="3" t="s">
        <v>19</v>
      </c>
      <c r="C26" s="3" t="s">
        <v>74</v>
      </c>
      <c r="D26" s="3">
        <v>800</v>
      </c>
      <c r="E26" s="3">
        <v>45</v>
      </c>
      <c r="F26" s="3" t="s">
        <v>9</v>
      </c>
    </row>
    <row r="27" spans="1:6" x14ac:dyDescent="0.25">
      <c r="A27" s="4" t="s">
        <v>75</v>
      </c>
      <c r="B27" s="4" t="s">
        <v>59</v>
      </c>
      <c r="C27" s="4" t="s">
        <v>76</v>
      </c>
      <c r="D27" s="4">
        <v>130</v>
      </c>
      <c r="E27" s="4">
        <v>25</v>
      </c>
      <c r="F27" s="4" t="s">
        <v>13</v>
      </c>
    </row>
    <row r="28" spans="1:6" x14ac:dyDescent="0.25">
      <c r="A28" s="3" t="s">
        <v>77</v>
      </c>
      <c r="B28" s="3" t="s">
        <v>32</v>
      </c>
      <c r="C28" s="3" t="s">
        <v>78</v>
      </c>
      <c r="D28" s="3">
        <v>400</v>
      </c>
      <c r="E28" s="3">
        <v>40</v>
      </c>
      <c r="F28" s="3" t="s">
        <v>17</v>
      </c>
    </row>
    <row r="29" spans="1:6" x14ac:dyDescent="0.25">
      <c r="A29" s="4" t="s">
        <v>48</v>
      </c>
      <c r="B29" s="4" t="s">
        <v>26</v>
      </c>
      <c r="C29" s="4" t="s">
        <v>49</v>
      </c>
      <c r="D29" s="4">
        <v>230</v>
      </c>
      <c r="E29" s="4">
        <v>20</v>
      </c>
      <c r="F29" s="4" t="s">
        <v>9</v>
      </c>
    </row>
    <row r="30" spans="1:6" x14ac:dyDescent="0.25">
      <c r="A30" s="3" t="s">
        <v>79</v>
      </c>
      <c r="B30" s="3" t="s">
        <v>80</v>
      </c>
      <c r="C30" s="3" t="s">
        <v>81</v>
      </c>
      <c r="D30" s="3">
        <v>60</v>
      </c>
      <c r="E30" s="3">
        <v>30</v>
      </c>
      <c r="F30" s="3" t="s">
        <v>13</v>
      </c>
    </row>
    <row r="31" spans="1:6" x14ac:dyDescent="0.25">
      <c r="A31" s="4" t="s">
        <v>82</v>
      </c>
      <c r="B31" s="4" t="s">
        <v>83</v>
      </c>
      <c r="C31" s="4" t="s">
        <v>84</v>
      </c>
      <c r="D31" s="4">
        <v>40</v>
      </c>
      <c r="E31" s="4">
        <v>10</v>
      </c>
      <c r="F31" s="4" t="s">
        <v>17</v>
      </c>
    </row>
    <row r="32" spans="1:6" x14ac:dyDescent="0.25">
      <c r="A32" s="3" t="s">
        <v>85</v>
      </c>
      <c r="B32" s="3" t="s">
        <v>71</v>
      </c>
      <c r="C32" s="3" t="s">
        <v>86</v>
      </c>
      <c r="D32" s="3">
        <v>130</v>
      </c>
      <c r="E32" s="3">
        <v>5</v>
      </c>
      <c r="F32" s="3" t="s">
        <v>9</v>
      </c>
    </row>
    <row r="33" spans="1:6" x14ac:dyDescent="0.25">
      <c r="A33" s="4" t="s">
        <v>87</v>
      </c>
      <c r="B33" s="4" t="s">
        <v>88</v>
      </c>
      <c r="C33" s="4" t="s">
        <v>89</v>
      </c>
      <c r="D33" s="4">
        <v>50</v>
      </c>
      <c r="E33" s="4">
        <v>50</v>
      </c>
      <c r="F33" s="4" t="s">
        <v>13</v>
      </c>
    </row>
    <row r="34" spans="1:6" x14ac:dyDescent="0.25">
      <c r="A34" s="3" t="s">
        <v>40</v>
      </c>
      <c r="B34" s="3" t="s">
        <v>7</v>
      </c>
      <c r="C34" s="3" t="s">
        <v>41</v>
      </c>
      <c r="D34" s="3">
        <v>950</v>
      </c>
      <c r="E34" s="3">
        <v>25</v>
      </c>
      <c r="F34" s="3" t="s">
        <v>9</v>
      </c>
    </row>
    <row r="35" spans="1:6" x14ac:dyDescent="0.25">
      <c r="A35" s="4" t="s">
        <v>90</v>
      </c>
      <c r="B35" s="4" t="s">
        <v>91</v>
      </c>
      <c r="C35" s="4" t="s">
        <v>92</v>
      </c>
      <c r="D35" s="4">
        <v>100</v>
      </c>
      <c r="E35" s="4">
        <v>20</v>
      </c>
      <c r="F35" s="4" t="s">
        <v>53</v>
      </c>
    </row>
  </sheetData>
  <conditionalFormatting sqref="A1">
    <cfRule type="duplicateValues" dxfId="17" priority="2"/>
  </conditionalFormatting>
  <conditionalFormatting sqref="A1:A1048576">
    <cfRule type="duplicateValues" dxfId="16"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00"/>
  <sheetViews>
    <sheetView tabSelected="1" workbookViewId="0">
      <selection activeCell="H9" sqref="H9"/>
    </sheetView>
  </sheetViews>
  <sheetFormatPr defaultColWidth="12.6640625" defaultRowHeight="15" customHeight="1" x14ac:dyDescent="0.25"/>
  <cols>
    <col min="1" max="1" width="21.33203125" customWidth="1"/>
    <col min="2" max="2" width="15.33203125" customWidth="1"/>
    <col min="3" max="3" width="13.6640625" customWidth="1"/>
    <col min="4" max="4" width="12.6640625" style="19"/>
    <col min="7" max="7" width="25.33203125" customWidth="1"/>
    <col min="8" max="8" width="27.5546875" customWidth="1"/>
    <col min="9" max="9" width="27.109375" customWidth="1"/>
    <col min="10" max="10" width="12.6640625" style="24"/>
    <col min="11" max="11" width="12.6640625" style="25"/>
    <col min="12" max="12" width="22.6640625" customWidth="1"/>
  </cols>
  <sheetData>
    <row r="1" spans="1:12" ht="15.75" customHeight="1" x14ac:dyDescent="0.25">
      <c r="A1" s="6" t="s">
        <v>0</v>
      </c>
      <c r="B1" s="2" t="s">
        <v>1</v>
      </c>
      <c r="C1" s="2" t="s">
        <v>2</v>
      </c>
      <c r="D1" s="20" t="s">
        <v>3</v>
      </c>
      <c r="E1" s="2" t="s">
        <v>4</v>
      </c>
      <c r="F1" s="2" t="s">
        <v>5</v>
      </c>
      <c r="G1" s="21" t="s">
        <v>101</v>
      </c>
      <c r="H1" s="9" t="s">
        <v>94</v>
      </c>
      <c r="I1" s="9" t="s">
        <v>95</v>
      </c>
      <c r="J1" s="22" t="s">
        <v>103</v>
      </c>
      <c r="K1" s="23" t="s">
        <v>104</v>
      </c>
      <c r="L1" s="16" t="s">
        <v>106</v>
      </c>
    </row>
    <row r="2" spans="1:12" ht="15.75" customHeight="1" x14ac:dyDescent="0.25">
      <c r="A2" s="7" t="s">
        <v>6</v>
      </c>
      <c r="B2" s="12" t="s">
        <v>7</v>
      </c>
      <c r="C2" s="3" t="s">
        <v>8</v>
      </c>
      <c r="D2" s="17">
        <v>1000</v>
      </c>
      <c r="E2" s="3">
        <v>30</v>
      </c>
      <c r="F2" s="3" t="s">
        <v>9</v>
      </c>
      <c r="G2" s="1" t="b">
        <f>ISBLANK(D2)</f>
        <v>0</v>
      </c>
      <c r="H2" s="10" t="b">
        <f>ISBLANK(F2)</f>
        <v>0</v>
      </c>
      <c r="I2" s="26" t="str" cm="1">
        <f t="array" ref="I2">IF(
Table1[[#This Row],[Category]]&lt;&gt;"",
Table1[[#This Row],[Category]],
_xlfn.XLOOKUP(
Table1[[#This Row],[Product Name]],
_xlfn._xlws.FILTER(Table1[Product Name],Table1[Category]&lt;&gt;""),
_xlfn._xlws.FILTER(Table1[Category],Table1[Category]&lt;&gt;""),
""))</f>
        <v>Electronics</v>
      </c>
      <c r="J2" s="27" t="str">
        <f>LEFT(Table1[[#This Row],[Product ID]],6)</f>
        <v>28-JAN</v>
      </c>
      <c r="K2" s="28" t="str">
        <f>RIGHT(Table1[[#This Row],[Product ID]],2)</f>
        <v>US</v>
      </c>
      <c r="L2" s="29" t="str">
        <f>CONCATENATE(Table1[[#This Row],[Brand Name]]," ",Table1[[#This Row],[Product Name]])</f>
        <v>Dell Laptop</v>
      </c>
    </row>
    <row r="3" spans="1:12" ht="15.75" customHeight="1" x14ac:dyDescent="0.25">
      <c r="A3" s="8" t="s">
        <v>10</v>
      </c>
      <c r="B3" s="4" t="s">
        <v>11</v>
      </c>
      <c r="C3" s="4" t="s">
        <v>12</v>
      </c>
      <c r="D3" s="18">
        <v>80</v>
      </c>
      <c r="E3" s="4">
        <v>15</v>
      </c>
      <c r="F3" s="4" t="s">
        <v>13</v>
      </c>
      <c r="G3" s="1" t="b">
        <f>ISBLANK(D3)</f>
        <v>0</v>
      </c>
      <c r="H3" s="10" t="b">
        <f>ISBLANK(F3)</f>
        <v>0</v>
      </c>
      <c r="I3" s="26" t="str" cm="1">
        <f t="array" ref="I3">IF(
Table1[[#This Row],[Category]]&lt;&gt;"",
Table1[[#This Row],[Category]],
_xlfn.XLOOKUP(
Table1[[#This Row],[Product Name]],
_xlfn._xlws.FILTER(Table1[Product Name],Table1[Category]&lt;&gt;""),
_xlfn._xlws.FILTER(Table1[Category],Table1[Category]&lt;&gt;""),
""))</f>
        <v>Fashion</v>
      </c>
      <c r="J3" s="27" t="str">
        <f>LEFT(Table1[[#This Row],[Product ID]],6)</f>
        <v>15-FEB</v>
      </c>
      <c r="K3" s="28" t="str">
        <f>RIGHT(Table1[[#This Row],[Product ID]],2)</f>
        <v>US</v>
      </c>
      <c r="L3" s="29" t="str">
        <f>CONCATENATE(Table1[[#This Row],[Brand Name]]," ",Table1[[#This Row],[Product Name]])</f>
        <v>Nike Sneakers</v>
      </c>
    </row>
    <row r="4" spans="1:12" ht="15.75" customHeight="1" x14ac:dyDescent="0.25">
      <c r="A4" s="7" t="s">
        <v>14</v>
      </c>
      <c r="B4" s="3" t="s">
        <v>15</v>
      </c>
      <c r="C4" s="3" t="s">
        <v>16</v>
      </c>
      <c r="D4" s="17">
        <v>130</v>
      </c>
      <c r="E4" s="3">
        <v>40</v>
      </c>
      <c r="F4" s="3" t="s">
        <v>17</v>
      </c>
      <c r="G4" s="1" t="b">
        <f>ISBLANK(D4)</f>
        <v>0</v>
      </c>
      <c r="H4" s="10" t="b">
        <f>ISBLANK(F4)</f>
        <v>0</v>
      </c>
      <c r="I4" s="26" t="str" cm="1">
        <f t="array" ref="I4">IF(
Table1[[#This Row],[Category]]&lt;&gt;"",
Table1[[#This Row],[Category]],
_xlfn.XLOOKUP(
Table1[[#This Row],[Product Name]],
_xlfn._xlws.FILTER(Table1[Product Name],Table1[Category]&lt;&gt;""),
_xlfn._xlws.FILTER(Table1[Category],Table1[Category]&lt;&gt;""),
""))</f>
        <v>Kitchen</v>
      </c>
      <c r="J4" s="27" t="str">
        <f>LEFT(Table1[[#This Row],[Product ID]],6)</f>
        <v>03-MAR</v>
      </c>
      <c r="K4" s="28" t="str">
        <f>RIGHT(Table1[[#This Row],[Product ID]],2)</f>
        <v>US</v>
      </c>
      <c r="L4" s="29" t="str">
        <f>CONCATENATE(Table1[[#This Row],[Brand Name]]," ",Table1[[#This Row],[Product Name]])</f>
        <v>Keurig Coffee Maker</v>
      </c>
    </row>
    <row r="5" spans="1:12" ht="15.75" customHeight="1" x14ac:dyDescent="0.25">
      <c r="A5" s="8" t="s">
        <v>18</v>
      </c>
      <c r="B5" s="4" t="s">
        <v>19</v>
      </c>
      <c r="C5" s="4" t="s">
        <v>20</v>
      </c>
      <c r="D5" s="18">
        <v>900</v>
      </c>
      <c r="E5" s="4">
        <v>25</v>
      </c>
      <c r="F5" s="4" t="s">
        <v>9</v>
      </c>
      <c r="G5" s="1" t="b">
        <f>ISBLANK(D5)</f>
        <v>0</v>
      </c>
      <c r="H5" s="10" t="b">
        <f>ISBLANK(F5)</f>
        <v>0</v>
      </c>
      <c r="I5" s="26" t="str" cm="1">
        <f t="array" ref="I5">IF(
Table1[[#This Row],[Category]]&lt;&gt;"",
Table1[[#This Row],[Category]],
_xlfn.XLOOKUP(
Table1[[#This Row],[Product Name]],
_xlfn._xlws.FILTER(Table1[Product Name],Table1[Category]&lt;&gt;""),
_xlfn._xlws.FILTER(Table1[Category],Table1[Category]&lt;&gt;""),
""))</f>
        <v>Electronics</v>
      </c>
      <c r="J5" s="27" t="str">
        <f>LEFT(Table1[[#This Row],[Product ID]],6)</f>
        <v>11-APR</v>
      </c>
      <c r="K5" s="28" t="str">
        <f>RIGHT(Table1[[#This Row],[Product ID]],2)</f>
        <v>US</v>
      </c>
      <c r="L5" s="29" t="str">
        <f>CONCATENATE(Table1[[#This Row],[Brand Name]]," ",Table1[[#This Row],[Product Name]])</f>
        <v>Samsung Smartphone</v>
      </c>
    </row>
    <row r="6" spans="1:12" ht="15.75" customHeight="1" x14ac:dyDescent="0.25">
      <c r="A6" s="7" t="s">
        <v>21</v>
      </c>
      <c r="B6" s="3" t="s">
        <v>22</v>
      </c>
      <c r="C6" s="3" t="s">
        <v>23</v>
      </c>
      <c r="D6" s="17">
        <v>70</v>
      </c>
      <c r="E6" s="3">
        <v>20</v>
      </c>
      <c r="F6" s="3" t="s">
        <v>24</v>
      </c>
      <c r="G6" s="1" t="b">
        <f>ISBLANK(D6)</f>
        <v>0</v>
      </c>
      <c r="H6" s="10" t="b">
        <f>ISBLANK(F6)</f>
        <v>0</v>
      </c>
      <c r="I6" s="26" t="str" cm="1">
        <f t="array" ref="I6">IF(
Table1[[#This Row],[Category]]&lt;&gt;"",
Table1[[#This Row],[Category]],
_xlfn.XLOOKUP(
Table1[[#This Row],[Product Name]],
_xlfn._xlws.FILTER(Table1[Product Name],Table1[Category]&lt;&gt;""),
_xlfn._xlws.FILTER(Table1[Category],Table1[Category]&lt;&gt;""),
""))</f>
        <v>Outdoor</v>
      </c>
      <c r="J6" s="27" t="str">
        <f>LEFT(Table1[[#This Row],[Product ID]],6)</f>
        <v>22-MAY</v>
      </c>
      <c r="K6" s="28" t="str">
        <f>RIGHT(Table1[[#This Row],[Product ID]],2)</f>
        <v>US</v>
      </c>
      <c r="L6" s="29" t="str">
        <f>CONCATENATE(Table1[[#This Row],[Brand Name]]," ",Table1[[#This Row],[Product Name]])</f>
        <v>North Face Backpack</v>
      </c>
    </row>
    <row r="7" spans="1:12" ht="15.75" customHeight="1" x14ac:dyDescent="0.25">
      <c r="A7" s="8" t="s">
        <v>25</v>
      </c>
      <c r="B7" s="4" t="s">
        <v>26</v>
      </c>
      <c r="C7" s="4" t="s">
        <v>27</v>
      </c>
      <c r="D7" s="18">
        <v>200</v>
      </c>
      <c r="E7" s="4">
        <v>45</v>
      </c>
      <c r="F7" s="3" t="s">
        <v>9</v>
      </c>
      <c r="G7" s="1" t="b">
        <f>ISBLANK(D7)</f>
        <v>0</v>
      </c>
      <c r="H7" s="10" t="b">
        <f>ISBLANK(F7)</f>
        <v>0</v>
      </c>
      <c r="I7" s="26" t="str" cm="1">
        <f t="array" ref="I7">IF(
Table1[[#This Row],[Category]]&lt;&gt;"",
Table1[[#This Row],[Category]],
_xlfn.XLOOKUP(
Table1[[#This Row],[Product Name]],
_xlfn._xlws.FILTER(Table1[Product Name],Table1[Category]&lt;&gt;""),
_xlfn._xlws.FILTER(Table1[Category],Table1[Category]&lt;&gt;""),
""))</f>
        <v>Electronics</v>
      </c>
      <c r="J7" s="27" t="str">
        <f>LEFT(Table1[[#This Row],[Product ID]],6)</f>
        <v>07-JUN</v>
      </c>
      <c r="K7" s="28" t="str">
        <f>RIGHT(Table1[[#This Row],[Product ID]],2)</f>
        <v>UK</v>
      </c>
      <c r="L7" s="29" t="str">
        <f>CONCATENATE(Table1[[#This Row],[Brand Name]]," ",Table1[[#This Row],[Product Name]])</f>
        <v>Sony Headphones</v>
      </c>
    </row>
    <row r="8" spans="1:12" ht="15.75" customHeight="1" x14ac:dyDescent="0.25">
      <c r="A8" s="7" t="s">
        <v>28</v>
      </c>
      <c r="B8" s="3" t="s">
        <v>29</v>
      </c>
      <c r="C8" s="3" t="s">
        <v>30</v>
      </c>
      <c r="D8" s="17">
        <v>30</v>
      </c>
      <c r="E8" s="3">
        <v>5</v>
      </c>
      <c r="F8" s="4" t="s">
        <v>24</v>
      </c>
      <c r="G8" s="1" t="b">
        <f>ISBLANK(D8)</f>
        <v>0</v>
      </c>
      <c r="H8" s="10" t="b">
        <f>ISBLANK(F8)</f>
        <v>0</v>
      </c>
      <c r="I8" s="26" t="str" cm="1">
        <f t="array" ref="I8">IF(
Table1[[#This Row],[Category]]&lt;&gt;"",
Table1[[#This Row],[Category]],
_xlfn.XLOOKUP(
Table1[[#This Row],[Product Name]],
_xlfn._xlws.FILTER(Table1[Product Name],Table1[Category]&lt;&gt;""),
_xlfn._xlws.FILTER(Table1[Category],Table1[Category]&lt;&gt;""),
""))</f>
        <v>Outdoor</v>
      </c>
      <c r="J8" s="27" t="str">
        <f>LEFT(Table1[[#This Row],[Product ID]],6)</f>
        <v>19-JUL</v>
      </c>
      <c r="K8" s="28" t="str">
        <f>RIGHT(Table1[[#This Row],[Product ID]],2)</f>
        <v>UK</v>
      </c>
      <c r="L8" s="29" t="str">
        <f>CONCATENATE(Table1[[#This Row],[Brand Name]]," ",Table1[[#This Row],[Product Name]])</f>
        <v>Adidas T-shirt</v>
      </c>
    </row>
    <row r="9" spans="1:12" ht="15.75" customHeight="1" x14ac:dyDescent="0.25">
      <c r="A9" s="8" t="s">
        <v>31</v>
      </c>
      <c r="B9" s="4" t="s">
        <v>32</v>
      </c>
      <c r="C9" s="4" t="s">
        <v>33</v>
      </c>
      <c r="D9" s="18">
        <v>90</v>
      </c>
      <c r="E9" s="4">
        <v>35</v>
      </c>
      <c r="F9" s="3" t="s">
        <v>17</v>
      </c>
      <c r="G9" s="1" t="b">
        <f>ISBLANK(D9)</f>
        <v>0</v>
      </c>
      <c r="H9" s="10" t="b">
        <f>ISBLANK(F9)</f>
        <v>0</v>
      </c>
      <c r="I9" s="26" t="str" cm="1">
        <f t="array" ref="I9">IF(
Table1[[#This Row],[Category]]&lt;&gt;"",
Table1[[#This Row],[Category]],
_xlfn.XLOOKUP(
Table1[[#This Row],[Product Name]],
_xlfn._xlws.FILTER(Table1[Product Name],Table1[Category]&lt;&gt;""),
_xlfn._xlws.FILTER(Table1[Category],Table1[Category]&lt;&gt;""),
""))</f>
        <v>Kitchen</v>
      </c>
      <c r="J9" s="27" t="str">
        <f>LEFT(Table1[[#This Row],[Product ID]],6)</f>
        <v>23-AUG</v>
      </c>
      <c r="K9" s="28" t="str">
        <f>RIGHT(Table1[[#This Row],[Product ID]],2)</f>
        <v>UK</v>
      </c>
      <c r="L9" s="29" t="str">
        <f>CONCATENATE(Table1[[#This Row],[Brand Name]]," ",Table1[[#This Row],[Product Name]])</f>
        <v>Ninja Blender</v>
      </c>
    </row>
    <row r="10" spans="1:12" ht="15.75" customHeight="1" x14ac:dyDescent="0.25">
      <c r="A10" s="7" t="s">
        <v>34</v>
      </c>
      <c r="B10" s="3" t="s">
        <v>35</v>
      </c>
      <c r="C10" s="3" t="s">
        <v>36</v>
      </c>
      <c r="D10" s="17">
        <v>500</v>
      </c>
      <c r="E10" s="3">
        <v>50</v>
      </c>
      <c r="F10" s="4" t="s">
        <v>9</v>
      </c>
      <c r="G10" s="1" t="b">
        <f>ISBLANK(D10)</f>
        <v>0</v>
      </c>
      <c r="H10" s="10" t="b">
        <f>ISBLANK(F10)</f>
        <v>0</v>
      </c>
      <c r="I10" s="26" t="str" cm="1">
        <f t="array" ref="I10">IF(
Table1[[#This Row],[Category]]&lt;&gt;"",
Table1[[#This Row],[Category]],
_xlfn.XLOOKUP(
Table1[[#This Row],[Product Name]],
_xlfn._xlws.FILTER(Table1[Product Name],Table1[Category]&lt;&gt;""),
_xlfn._xlws.FILTER(Table1[Category],Table1[Category]&lt;&gt;""),
""))</f>
        <v>Electronics</v>
      </c>
      <c r="J10" s="27" t="str">
        <f>LEFT(Table1[[#This Row],[Product ID]],6)</f>
        <v>05-SEP</v>
      </c>
      <c r="K10" s="28" t="str">
        <f>RIGHT(Table1[[#This Row],[Product ID]],2)</f>
        <v>UK</v>
      </c>
      <c r="L10" s="29" t="str">
        <f>CONCATENATE(Table1[[#This Row],[Brand Name]]," ",Table1[[#This Row],[Product Name]])</f>
        <v>Apple Tablet</v>
      </c>
    </row>
    <row r="11" spans="1:12" ht="15.75" customHeight="1" x14ac:dyDescent="0.25">
      <c r="A11" s="8" t="s">
        <v>37</v>
      </c>
      <c r="B11" s="4" t="s">
        <v>38</v>
      </c>
      <c r="C11" s="4" t="s">
        <v>39</v>
      </c>
      <c r="D11" s="18">
        <v>130</v>
      </c>
      <c r="E11" s="4">
        <v>10</v>
      </c>
      <c r="F11" s="3" t="s">
        <v>24</v>
      </c>
      <c r="G11" s="1" t="b">
        <f>ISBLANK(D11)</f>
        <v>0</v>
      </c>
      <c r="H11" s="10" t="b">
        <f>ISBLANK(F11)</f>
        <v>0</v>
      </c>
      <c r="I11" s="26" t="str" cm="1">
        <f t="array" ref="I11">IF(
Table1[[#This Row],[Category]]&lt;&gt;"",
Table1[[#This Row],[Category]],
_xlfn.XLOOKUP(
Table1[[#This Row],[Product Name]],
_xlfn._xlws.FILTER(Table1[Product Name],Table1[Category]&lt;&gt;""),
_xlfn._xlws.FILTER(Table1[Category],Table1[Category]&lt;&gt;""),
""))</f>
        <v>Outdoor</v>
      </c>
      <c r="J11" s="27" t="str">
        <f>LEFT(Table1[[#This Row],[Product ID]],6)</f>
        <v>14-OCT</v>
      </c>
      <c r="K11" s="28" t="str">
        <f>RIGHT(Table1[[#This Row],[Product ID]],2)</f>
        <v>UK</v>
      </c>
      <c r="L11" s="29" t="str">
        <f>CONCATENATE(Table1[[#This Row],[Brand Name]]," ",Table1[[#This Row],[Product Name]])</f>
        <v>Timberland Hiking Boots</v>
      </c>
    </row>
    <row r="12" spans="1:12" ht="15.75" customHeight="1" x14ac:dyDescent="0.25">
      <c r="A12" s="7" t="s">
        <v>40</v>
      </c>
      <c r="B12" s="12" t="s">
        <v>7</v>
      </c>
      <c r="C12" s="3" t="s">
        <v>41</v>
      </c>
      <c r="D12" s="17">
        <v>950</v>
      </c>
      <c r="E12" s="3">
        <v>25</v>
      </c>
      <c r="F12" s="3" t="s">
        <v>9</v>
      </c>
      <c r="G12" s="1" t="b">
        <f>ISBLANK(D12)</f>
        <v>0</v>
      </c>
      <c r="H12" s="10" t="b">
        <f>ISBLANK(F12)</f>
        <v>0</v>
      </c>
      <c r="I12" s="26" t="str" cm="1">
        <f t="array" ref="I12">IF(
Table1[[#This Row],[Category]]&lt;&gt;"",
Table1[[#This Row],[Category]],
_xlfn.XLOOKUP(
Table1[[#This Row],[Product Name]],
_xlfn._xlws.FILTER(Table1[Product Name],Table1[Category]&lt;&gt;""),
_xlfn._xlws.FILTER(Table1[Category],Table1[Category]&lt;&gt;""),
""))</f>
        <v>Electronics</v>
      </c>
      <c r="J12" s="27" t="str">
        <f>LEFT(Table1[[#This Row],[Product ID]],6)</f>
        <v>17-JUN</v>
      </c>
      <c r="K12" s="28" t="str">
        <f>RIGHT(Table1[[#This Row],[Product ID]],2)</f>
        <v>IN</v>
      </c>
      <c r="L12" s="29" t="str">
        <f>CONCATENATE(Table1[[#This Row],[Brand Name]]," ",Table1[[#This Row],[Product Name]])</f>
        <v>HP Laptop</v>
      </c>
    </row>
    <row r="13" spans="1:12" ht="15.75" customHeight="1" x14ac:dyDescent="0.25">
      <c r="A13" s="8" t="s">
        <v>42</v>
      </c>
      <c r="B13" s="4" t="s">
        <v>11</v>
      </c>
      <c r="C13" s="4" t="s">
        <v>30</v>
      </c>
      <c r="D13" s="18">
        <v>90</v>
      </c>
      <c r="E13" s="4">
        <v>40</v>
      </c>
      <c r="F13" s="4" t="s">
        <v>13</v>
      </c>
      <c r="G13" s="1" t="b">
        <f>ISBLANK(D13)</f>
        <v>0</v>
      </c>
      <c r="H13" s="10" t="b">
        <f>ISBLANK(F13)</f>
        <v>0</v>
      </c>
      <c r="I13" s="26" t="str" cm="1">
        <f t="array" ref="I13">IF(
Table1[[#This Row],[Category]]&lt;&gt;"",
Table1[[#This Row],[Category]],
_xlfn.XLOOKUP(
Table1[[#This Row],[Product Name]],
_xlfn._xlws.FILTER(Table1[Product Name],Table1[Category]&lt;&gt;""),
_xlfn._xlws.FILTER(Table1[Category],Table1[Category]&lt;&gt;""),
""))</f>
        <v>Fashion</v>
      </c>
      <c r="J13" s="27" t="str">
        <f>LEFT(Table1[[#This Row],[Product ID]],6)</f>
        <v>25-NOV</v>
      </c>
      <c r="K13" s="28" t="str">
        <f>RIGHT(Table1[[#This Row],[Product ID]],2)</f>
        <v>AU</v>
      </c>
      <c r="L13" s="29" t="str">
        <f>CONCATENATE(Table1[[#This Row],[Brand Name]]," ",Table1[[#This Row],[Product Name]])</f>
        <v>Adidas Sneakers</v>
      </c>
    </row>
    <row r="14" spans="1:12" ht="15.75" customHeight="1" x14ac:dyDescent="0.25">
      <c r="A14" s="7" t="s">
        <v>43</v>
      </c>
      <c r="B14" s="3" t="s">
        <v>15</v>
      </c>
      <c r="C14" s="3" t="s">
        <v>44</v>
      </c>
      <c r="D14" s="17">
        <v>120</v>
      </c>
      <c r="E14" s="3">
        <v>35</v>
      </c>
      <c r="F14" s="3" t="s">
        <v>17</v>
      </c>
      <c r="G14" s="1" t="b">
        <f>ISBLANK(D14)</f>
        <v>0</v>
      </c>
      <c r="H14" s="10" t="b">
        <f>ISBLANK(F14)</f>
        <v>0</v>
      </c>
      <c r="I14" s="26" t="str" cm="1">
        <f t="array" ref="I14">IF(
Table1[[#This Row],[Category]]&lt;&gt;"",
Table1[[#This Row],[Category]],
_xlfn.XLOOKUP(
Table1[[#This Row],[Product Name]],
_xlfn._xlws.FILTER(Table1[Product Name],Table1[Category]&lt;&gt;""),
_xlfn._xlws.FILTER(Table1[Category],Table1[Category]&lt;&gt;""),
""))</f>
        <v>Kitchen</v>
      </c>
      <c r="J14" s="27" t="str">
        <f>LEFT(Table1[[#This Row],[Product ID]],6)</f>
        <v>08-DEC</v>
      </c>
      <c r="K14" s="28" t="str">
        <f>RIGHT(Table1[[#This Row],[Product ID]],2)</f>
        <v>DE</v>
      </c>
      <c r="L14" s="29" t="str">
        <f>CONCATENATE(Table1[[#This Row],[Brand Name]]," ",Table1[[#This Row],[Product Name]])</f>
        <v>Nespresso Coffee Maker</v>
      </c>
    </row>
    <row r="15" spans="1:12" ht="15.75" customHeight="1" x14ac:dyDescent="0.25">
      <c r="A15" s="8" t="s">
        <v>45</v>
      </c>
      <c r="B15" s="4" t="s">
        <v>46</v>
      </c>
      <c r="C15" s="4" t="s">
        <v>47</v>
      </c>
      <c r="D15" s="18">
        <v>150</v>
      </c>
      <c r="E15" s="4">
        <v>15</v>
      </c>
      <c r="F15" s="4" t="s">
        <v>9</v>
      </c>
      <c r="G15" s="1" t="b">
        <f>ISBLANK(D15)</f>
        <v>0</v>
      </c>
      <c r="H15" s="10" t="b">
        <f>ISBLANK(F15)</f>
        <v>0</v>
      </c>
      <c r="I15" s="26" t="str" cm="1">
        <f t="array" ref="I15">IF(
Table1[[#This Row],[Category]]&lt;&gt;"",
Table1[[#This Row],[Category]],
_xlfn.XLOOKUP(
Table1[[#This Row],[Product Name]],
_xlfn._xlws.FILTER(Table1[Product Name],Table1[Category]&lt;&gt;""),
_xlfn._xlws.FILTER(Table1[Category],Table1[Category]&lt;&gt;""),
""))</f>
        <v>Electronics</v>
      </c>
      <c r="J15" s="27" t="str">
        <f>LEFT(Table1[[#This Row],[Product ID]],6)</f>
        <v>18-FEB</v>
      </c>
      <c r="K15" s="28" t="str">
        <f>RIGHT(Table1[[#This Row],[Product ID]],2)</f>
        <v>CA</v>
      </c>
      <c r="L15" s="29" t="str">
        <f>CONCATENATE(Table1[[#This Row],[Brand Name]]," ",Table1[[#This Row],[Product Name]])</f>
        <v>Fitbit Smartwatch</v>
      </c>
    </row>
    <row r="16" spans="1:12" ht="15.75" customHeight="1" x14ac:dyDescent="0.25">
      <c r="A16" s="7" t="s">
        <v>48</v>
      </c>
      <c r="B16" s="3" t="s">
        <v>26</v>
      </c>
      <c r="C16" s="3" t="s">
        <v>49</v>
      </c>
      <c r="D16" s="17">
        <v>250</v>
      </c>
      <c r="E16" s="3">
        <v>20</v>
      </c>
      <c r="F16" s="3" t="s">
        <v>9</v>
      </c>
      <c r="G16" s="1" t="b">
        <f>ISBLANK(D16)</f>
        <v>0</v>
      </c>
      <c r="H16" s="10" t="b">
        <f>ISBLANK(F16)</f>
        <v>0</v>
      </c>
      <c r="I16" s="26" t="str" cm="1">
        <f t="array" ref="I16">IF(
Table1[[#This Row],[Category]]&lt;&gt;"",
Table1[[#This Row],[Category]],
_xlfn.XLOOKUP(
Table1[[#This Row],[Product Name]],
_xlfn._xlws.FILTER(Table1[Product Name],Table1[Category]&lt;&gt;""),
_xlfn._xlws.FILTER(Table1[Category],Table1[Category]&lt;&gt;""),
""))</f>
        <v>Electronics</v>
      </c>
      <c r="J16" s="27" t="str">
        <f>LEFT(Table1[[#This Row],[Product ID]],6)</f>
        <v>16-APR</v>
      </c>
      <c r="K16" s="28" t="str">
        <f>RIGHT(Table1[[#This Row],[Product ID]],2)</f>
        <v>ES</v>
      </c>
      <c r="L16" s="29" t="str">
        <f>CONCATENATE(Table1[[#This Row],[Brand Name]]," ",Table1[[#This Row],[Product Name]])</f>
        <v>Bose Headphones</v>
      </c>
    </row>
    <row r="17" spans="1:12" ht="15.75" customHeight="1" x14ac:dyDescent="0.25">
      <c r="A17" s="8" t="s">
        <v>50</v>
      </c>
      <c r="B17" s="4" t="s">
        <v>51</v>
      </c>
      <c r="C17" s="4" t="s">
        <v>52</v>
      </c>
      <c r="D17" s="18">
        <v>50</v>
      </c>
      <c r="E17" s="4">
        <v>35</v>
      </c>
      <c r="F17" s="4" t="s">
        <v>53</v>
      </c>
      <c r="G17" s="1" t="b">
        <f>ISBLANK(D17)</f>
        <v>0</v>
      </c>
      <c r="H17" s="10" t="b">
        <f>ISBLANK(F17)</f>
        <v>0</v>
      </c>
      <c r="I17" s="26" t="str" cm="1">
        <f t="array" ref="I17">IF(
Table1[[#This Row],[Category]]&lt;&gt;"",
Table1[[#This Row],[Category]],
_xlfn.XLOOKUP(
Table1[[#This Row],[Product Name]],
_xlfn._xlws.FILTER(Table1[Product Name],Table1[Category]&lt;&gt;""),
_xlfn._xlws.FILTER(Table1[Category],Table1[Category]&lt;&gt;""),
""))</f>
        <v>Accessories</v>
      </c>
      <c r="J17" s="27" t="str">
        <f>LEFT(Table1[[#This Row],[Product ID]],6)</f>
        <v>21-AUG</v>
      </c>
      <c r="K17" s="28" t="str">
        <f>RIGHT(Table1[[#This Row],[Product ID]],2)</f>
        <v>CA</v>
      </c>
      <c r="L17" s="29" t="str">
        <f>CONCATENATE(Table1[[#This Row],[Brand Name]]," ",Table1[[#This Row],[Product Name]])</f>
        <v>Samsonite Laptop Bag</v>
      </c>
    </row>
    <row r="18" spans="1:12" ht="15.75" customHeight="1" x14ac:dyDescent="0.25">
      <c r="A18" s="7" t="s">
        <v>54</v>
      </c>
      <c r="B18" s="3" t="s">
        <v>46</v>
      </c>
      <c r="C18" s="3" t="s">
        <v>55</v>
      </c>
      <c r="D18" s="17">
        <v>160</v>
      </c>
      <c r="E18" s="3">
        <v>15</v>
      </c>
      <c r="F18" s="3" t="s">
        <v>9</v>
      </c>
      <c r="G18" s="1" t="b">
        <f>ISBLANK(D18)</f>
        <v>0</v>
      </c>
      <c r="H18" s="10" t="b">
        <f>ISBLANK(F18)</f>
        <v>0</v>
      </c>
      <c r="I18" s="26" t="str" cm="1">
        <f t="array" ref="I18">IF(
Table1[[#This Row],[Category]]&lt;&gt;"",
Table1[[#This Row],[Category]],
_xlfn.XLOOKUP(
Table1[[#This Row],[Product Name]],
_xlfn._xlws.FILTER(Table1[Product Name],Table1[Category]&lt;&gt;""),
_xlfn._xlws.FILTER(Table1[Category],Table1[Category]&lt;&gt;""),
""))</f>
        <v>Electronics</v>
      </c>
      <c r="J18" s="27" t="str">
        <f>LEFT(Table1[[#This Row],[Product ID]],6)</f>
        <v>20-AUG</v>
      </c>
      <c r="K18" s="28" t="str">
        <f>RIGHT(Table1[[#This Row],[Product ID]],2)</f>
        <v>CN</v>
      </c>
      <c r="L18" s="29" t="str">
        <f>CONCATENATE(Table1[[#This Row],[Brand Name]]," ",Table1[[#This Row],[Product Name]])</f>
        <v>Huawei Smartwatch</v>
      </c>
    </row>
    <row r="19" spans="1:12" ht="15.75" customHeight="1" x14ac:dyDescent="0.25">
      <c r="A19" s="8" t="s">
        <v>56</v>
      </c>
      <c r="B19" s="11" t="s">
        <v>7</v>
      </c>
      <c r="C19" s="4" t="s">
        <v>57</v>
      </c>
      <c r="D19" s="18">
        <v>980</v>
      </c>
      <c r="E19" s="4">
        <v>10</v>
      </c>
      <c r="F19" s="4" t="s">
        <v>9</v>
      </c>
      <c r="G19" s="1" t="b">
        <f>ISBLANK(D19)</f>
        <v>0</v>
      </c>
      <c r="H19" s="10" t="b">
        <f>ISBLANK(F19)</f>
        <v>0</v>
      </c>
      <c r="I19" s="26" t="str" cm="1">
        <f t="array" ref="I19">IF(
Table1[[#This Row],[Category]]&lt;&gt;"",
Table1[[#This Row],[Category]],
_xlfn.XLOOKUP(
Table1[[#This Row],[Product Name]],
_xlfn._xlws.FILTER(Table1[Product Name],Table1[Category]&lt;&gt;""),
_xlfn._xlws.FILTER(Table1[Category],Table1[Category]&lt;&gt;""),
""))</f>
        <v>Electronics</v>
      </c>
      <c r="J19" s="27" t="str">
        <f>LEFT(Table1[[#This Row],[Product ID]],6)</f>
        <v>27-JAN</v>
      </c>
      <c r="K19" s="28" t="str">
        <f>RIGHT(Table1[[#This Row],[Product ID]],2)</f>
        <v>IT</v>
      </c>
      <c r="L19" s="29" t="str">
        <f>CONCATENATE(Table1[[#This Row],[Brand Name]]," ",Table1[[#This Row],[Product Name]])</f>
        <v>Asus Laptop</v>
      </c>
    </row>
    <row r="20" spans="1:12" ht="15.75" customHeight="1" x14ac:dyDescent="0.25">
      <c r="A20" s="7" t="s">
        <v>58</v>
      </c>
      <c r="B20" s="3" t="s">
        <v>59</v>
      </c>
      <c r="C20" s="3" t="s">
        <v>60</v>
      </c>
      <c r="D20" s="17">
        <v>150</v>
      </c>
      <c r="E20" s="3">
        <v>15</v>
      </c>
      <c r="F20" s="3" t="s">
        <v>13</v>
      </c>
      <c r="G20" s="1" t="b">
        <f>ISBLANK(D20)</f>
        <v>0</v>
      </c>
      <c r="H20" s="10" t="b">
        <f>ISBLANK(F20)</f>
        <v>0</v>
      </c>
      <c r="I20" s="26" t="str" cm="1">
        <f t="array" ref="I20">IF(
Table1[[#This Row],[Category]]&lt;&gt;"",
Table1[[#This Row],[Category]],
_xlfn.XLOOKUP(
Table1[[#This Row],[Product Name]],
_xlfn._xlws.FILTER(Table1[Product Name],Table1[Category]&lt;&gt;""),
_xlfn._xlws.FILTER(Table1[Category],Table1[Category]&lt;&gt;""),
""))</f>
        <v>Fashion</v>
      </c>
      <c r="J20" s="27" t="str">
        <f>LEFT(Table1[[#This Row],[Product ID]],6)</f>
        <v>01-MAR</v>
      </c>
      <c r="K20" s="28" t="str">
        <f>RIGHT(Table1[[#This Row],[Product ID]],2)</f>
        <v>UK</v>
      </c>
      <c r="L20" s="29" t="str">
        <f>CONCATENATE(Table1[[#This Row],[Brand Name]]," ",Table1[[#This Row],[Product Name]])</f>
        <v>Oakley Sunglasses</v>
      </c>
    </row>
    <row r="21" spans="1:12" ht="15.75" customHeight="1" x14ac:dyDescent="0.25">
      <c r="A21" s="8" t="s">
        <v>61</v>
      </c>
      <c r="B21" s="4" t="s">
        <v>62</v>
      </c>
      <c r="C21" s="4" t="s">
        <v>63</v>
      </c>
      <c r="D21" s="18">
        <v>200</v>
      </c>
      <c r="E21" s="4">
        <v>10</v>
      </c>
      <c r="F21" s="4" t="s">
        <v>24</v>
      </c>
      <c r="G21" s="1" t="b">
        <f>ISBLANK(D21)</f>
        <v>0</v>
      </c>
      <c r="H21" s="10" t="b">
        <f>ISBLANK(F21)</f>
        <v>0</v>
      </c>
      <c r="I21" s="26" t="str" cm="1">
        <f t="array" ref="I21">IF(
Table1[[#This Row],[Category]]&lt;&gt;"",
Table1[[#This Row],[Category]],
_xlfn.XLOOKUP(
Table1[[#This Row],[Product Name]],
_xlfn._xlws.FILTER(Table1[Product Name],Table1[Category]&lt;&gt;""),
_xlfn._xlws.FILTER(Table1[Category],Table1[Category]&lt;&gt;""),
""))</f>
        <v>Outdoor</v>
      </c>
      <c r="J21" s="27" t="str">
        <f>LEFT(Table1[[#This Row],[Product ID]],6)</f>
        <v>14-AUG</v>
      </c>
      <c r="K21" s="28" t="str">
        <f>RIGHT(Table1[[#This Row],[Product ID]],2)</f>
        <v>US</v>
      </c>
      <c r="L21" s="29" t="str">
        <f>CONCATENATE(Table1[[#This Row],[Brand Name]]," ",Table1[[#This Row],[Product Name]])</f>
        <v>Coleman Camping Tent</v>
      </c>
    </row>
    <row r="22" spans="1:12" ht="15.75" customHeight="1" x14ac:dyDescent="0.25">
      <c r="A22" s="7" t="s">
        <v>64</v>
      </c>
      <c r="B22" s="3" t="s">
        <v>65</v>
      </c>
      <c r="C22" s="3" t="s">
        <v>66</v>
      </c>
      <c r="D22" s="17">
        <v>700</v>
      </c>
      <c r="E22" s="3">
        <v>50</v>
      </c>
      <c r="F22" s="3" t="s">
        <v>9</v>
      </c>
      <c r="G22" s="1" t="b">
        <f>ISBLANK(D22)</f>
        <v>0</v>
      </c>
      <c r="H22" s="10" t="b">
        <f>ISBLANK(F22)</f>
        <v>0</v>
      </c>
      <c r="I22" s="26" t="str" cm="1">
        <f t="array" ref="I22">IF(
Table1[[#This Row],[Category]]&lt;&gt;"",
Table1[[#This Row],[Category]],
_xlfn.XLOOKUP(
Table1[[#This Row],[Product Name]],
_xlfn._xlws.FILTER(Table1[Product Name],Table1[Category]&lt;&gt;""),
_xlfn._xlws.FILTER(Table1[Category],Table1[Category]&lt;&gt;""),
""))</f>
        <v>Electronics</v>
      </c>
      <c r="J22" s="27" t="str">
        <f>LEFT(Table1[[#This Row],[Product ID]],6)</f>
        <v>14-MAY</v>
      </c>
      <c r="K22" s="28" t="str">
        <f>RIGHT(Table1[[#This Row],[Product ID]],2)</f>
        <v>RU</v>
      </c>
      <c r="L22" s="29" t="str">
        <f>CONCATENATE(Table1[[#This Row],[Brand Name]]," ",Table1[[#This Row],[Product Name]])</f>
        <v>Nikon Camera</v>
      </c>
    </row>
    <row r="23" spans="1:12" ht="15.75" customHeight="1" x14ac:dyDescent="0.25">
      <c r="A23" s="8" t="s">
        <v>67</v>
      </c>
      <c r="B23" s="4" t="s">
        <v>68</v>
      </c>
      <c r="C23" s="4" t="s">
        <v>69</v>
      </c>
      <c r="D23" s="18">
        <v>80</v>
      </c>
      <c r="E23" s="4">
        <v>20</v>
      </c>
      <c r="F23" s="4" t="s">
        <v>17</v>
      </c>
      <c r="G23" s="1" t="b">
        <f>ISBLANK(D23)</f>
        <v>0</v>
      </c>
      <c r="H23" s="10" t="b">
        <f>ISBLANK(F23)</f>
        <v>0</v>
      </c>
      <c r="I23" s="26" t="str" cm="1">
        <f t="array" ref="I23">IF(
Table1[[#This Row],[Category]]&lt;&gt;"",
Table1[[#This Row],[Category]],
_xlfn.XLOOKUP(
Table1[[#This Row],[Product Name]],
_xlfn._xlws.FILTER(Table1[Product Name],Table1[Category]&lt;&gt;""),
_xlfn._xlws.FILTER(Table1[Category],Table1[Category]&lt;&gt;""),
""))</f>
        <v>Kitchen</v>
      </c>
      <c r="J23" s="27" t="str">
        <f>LEFT(Table1[[#This Row],[Product ID]],6)</f>
        <v>09-JAN</v>
      </c>
      <c r="K23" s="28" t="str">
        <f>RIGHT(Table1[[#This Row],[Product ID]],2)</f>
        <v>CA</v>
      </c>
      <c r="L23" s="29" t="str">
        <f>CONCATENATE(Table1[[#This Row],[Brand Name]]," ",Table1[[#This Row],[Product Name]])</f>
        <v>Panasonic Microwave</v>
      </c>
    </row>
    <row r="24" spans="1:12" ht="15.75" customHeight="1" x14ac:dyDescent="0.25">
      <c r="A24" s="7" t="s">
        <v>70</v>
      </c>
      <c r="B24" s="3" t="s">
        <v>71</v>
      </c>
      <c r="C24" s="3" t="s">
        <v>72</v>
      </c>
      <c r="D24" s="17">
        <v>150</v>
      </c>
      <c r="E24" s="3">
        <v>30</v>
      </c>
      <c r="F24" s="3" t="s">
        <v>9</v>
      </c>
      <c r="G24" s="1" t="b">
        <f>ISBLANK(D24)</f>
        <v>0</v>
      </c>
      <c r="H24" s="10" t="b">
        <f>ISBLANK(F24)</f>
        <v>0</v>
      </c>
      <c r="I24" s="26" t="str" cm="1">
        <f t="array" ref="I24">IF(
Table1[[#This Row],[Category]]&lt;&gt;"",
Table1[[#This Row],[Category]],
_xlfn.XLOOKUP(
Table1[[#This Row],[Product Name]],
_xlfn._xlws.FILTER(Table1[Product Name],Table1[Category]&lt;&gt;""),
_xlfn._xlws.FILTER(Table1[Category],Table1[Category]&lt;&gt;""),
""))</f>
        <v>Electronics</v>
      </c>
      <c r="J24" s="27" t="str">
        <f>LEFT(Table1[[#This Row],[Product ID]],6)</f>
        <v>19-JUL</v>
      </c>
      <c r="K24" s="28" t="str">
        <f>RIGHT(Table1[[#This Row],[Product ID]],2)</f>
        <v>BR</v>
      </c>
      <c r="L24" s="29" t="str">
        <f>CONCATENATE(Table1[[#This Row],[Brand Name]]," ",Table1[[#This Row],[Product Name]])</f>
        <v>Xiaomi Fitness Tracker</v>
      </c>
    </row>
    <row r="25" spans="1:12" ht="15.75" customHeight="1" x14ac:dyDescent="0.25">
      <c r="A25" s="7" t="s">
        <v>73</v>
      </c>
      <c r="B25" s="3" t="s">
        <v>19</v>
      </c>
      <c r="C25" s="3" t="s">
        <v>74</v>
      </c>
      <c r="D25" s="17">
        <v>800</v>
      </c>
      <c r="E25" s="3">
        <v>45</v>
      </c>
      <c r="F25" s="3" t="s">
        <v>9</v>
      </c>
      <c r="G25" s="1" t="b">
        <f>ISBLANK(D25)</f>
        <v>0</v>
      </c>
      <c r="H25" s="10" t="b">
        <f>ISBLANK(F25)</f>
        <v>0</v>
      </c>
      <c r="I25" s="26" t="str" cm="1">
        <f t="array" ref="I25">IF(
Table1[[#This Row],[Category]]&lt;&gt;"",
Table1[[#This Row],[Category]],
_xlfn.XLOOKUP(
Table1[[#This Row],[Product Name]],
_xlfn._xlws.FILTER(Table1[Product Name],Table1[Category]&lt;&gt;""),
_xlfn._xlws.FILTER(Table1[Category],Table1[Category]&lt;&gt;""),
""))</f>
        <v>Electronics</v>
      </c>
      <c r="J25" s="27" t="str">
        <f>LEFT(Table1[[#This Row],[Product ID]],6)</f>
        <v>29-SEP</v>
      </c>
      <c r="K25" s="28" t="str">
        <f>RIGHT(Table1[[#This Row],[Product ID]],2)</f>
        <v>CA</v>
      </c>
      <c r="L25" s="29" t="str">
        <f>CONCATENATE(Table1[[#This Row],[Brand Name]]," ",Table1[[#This Row],[Product Name]])</f>
        <v>Google Smartphone</v>
      </c>
    </row>
    <row r="26" spans="1:12" ht="15.75" customHeight="1" x14ac:dyDescent="0.25">
      <c r="A26" s="8" t="s">
        <v>75</v>
      </c>
      <c r="B26" s="4" t="s">
        <v>59</v>
      </c>
      <c r="C26" s="4" t="s">
        <v>76</v>
      </c>
      <c r="D26" s="18">
        <v>130</v>
      </c>
      <c r="E26" s="4">
        <v>25</v>
      </c>
      <c r="F26" s="4" t="s">
        <v>13</v>
      </c>
      <c r="G26" s="1" t="b">
        <f>ISBLANK(D26)</f>
        <v>0</v>
      </c>
      <c r="H26" s="10" t="b">
        <f>ISBLANK(F26)</f>
        <v>0</v>
      </c>
      <c r="I26" s="26" t="str" cm="1">
        <f t="array" ref="I26">IF(
Table1[[#This Row],[Category]]&lt;&gt;"",
Table1[[#This Row],[Category]],
_xlfn.XLOOKUP(
Table1[[#This Row],[Product Name]],
_xlfn._xlws.FILTER(Table1[Product Name],Table1[Category]&lt;&gt;""),
_xlfn._xlws.FILTER(Table1[Category],Table1[Category]&lt;&gt;""),
""))</f>
        <v>Fashion</v>
      </c>
      <c r="J26" s="27" t="str">
        <f>LEFT(Table1[[#This Row],[Product ID]],6)</f>
        <v>03-JUN</v>
      </c>
      <c r="K26" s="28" t="str">
        <f>RIGHT(Table1[[#This Row],[Product ID]],2)</f>
        <v>CA</v>
      </c>
      <c r="L26" s="29" t="str">
        <f>CONCATENATE(Table1[[#This Row],[Brand Name]]," ",Table1[[#This Row],[Product Name]])</f>
        <v>Ray-Ban Sunglasses</v>
      </c>
    </row>
    <row r="27" spans="1:12" ht="15.75" customHeight="1" x14ac:dyDescent="0.25">
      <c r="A27" s="7" t="s">
        <v>77</v>
      </c>
      <c r="B27" s="3" t="s">
        <v>32</v>
      </c>
      <c r="C27" s="3" t="s">
        <v>78</v>
      </c>
      <c r="D27" s="17">
        <v>400</v>
      </c>
      <c r="E27" s="3">
        <v>40</v>
      </c>
      <c r="F27" s="3" t="s">
        <v>17</v>
      </c>
      <c r="G27" s="1" t="b">
        <f>ISBLANK(D27)</f>
        <v>0</v>
      </c>
      <c r="H27" s="10" t="b">
        <f>ISBLANK(F27)</f>
        <v>0</v>
      </c>
      <c r="I27" s="26" t="str" cm="1">
        <f t="array" ref="I27">IF(
Table1[[#This Row],[Category]]&lt;&gt;"",
Table1[[#This Row],[Category]],
_xlfn.XLOOKUP(
Table1[[#This Row],[Product Name]],
_xlfn._xlws.FILTER(Table1[Product Name],Table1[Category]&lt;&gt;""),
_xlfn._xlws.FILTER(Table1[Category],Table1[Category]&lt;&gt;""),
""))</f>
        <v>Kitchen</v>
      </c>
      <c r="J27" s="27" t="str">
        <f>LEFT(Table1[[#This Row],[Product ID]],6)</f>
        <v>11-JUL</v>
      </c>
      <c r="K27" s="28" t="str">
        <f>RIGHT(Table1[[#This Row],[Product ID]],2)</f>
        <v>CA</v>
      </c>
      <c r="L27" s="29" t="str">
        <f>CONCATENATE(Table1[[#This Row],[Brand Name]]," ",Table1[[#This Row],[Product Name]])</f>
        <v>Vitamix Blender</v>
      </c>
    </row>
    <row r="28" spans="1:12" ht="15.75" customHeight="1" x14ac:dyDescent="0.25">
      <c r="A28" s="8" t="s">
        <v>48</v>
      </c>
      <c r="B28" s="4" t="s">
        <v>26</v>
      </c>
      <c r="C28" s="4" t="s">
        <v>49</v>
      </c>
      <c r="D28" s="18">
        <v>230</v>
      </c>
      <c r="E28" s="4">
        <v>20</v>
      </c>
      <c r="F28" s="4" t="s">
        <v>9</v>
      </c>
      <c r="G28" s="1" t="b">
        <f>ISBLANK(D28)</f>
        <v>0</v>
      </c>
      <c r="H28" s="10" t="b">
        <f>ISBLANK(F28)</f>
        <v>0</v>
      </c>
      <c r="I28" s="26" t="str" cm="1">
        <f t="array" ref="I28">IF(
Table1[[#This Row],[Category]]&lt;&gt;"",
Table1[[#This Row],[Category]],
_xlfn.XLOOKUP(
Table1[[#This Row],[Product Name]],
_xlfn._xlws.FILTER(Table1[Product Name],Table1[Category]&lt;&gt;""),
_xlfn._xlws.FILTER(Table1[Category],Table1[Category]&lt;&gt;""),
""))</f>
        <v>Electronics</v>
      </c>
      <c r="J28" s="27" t="str">
        <f>LEFT(Table1[[#This Row],[Product ID]],6)</f>
        <v>16-APR</v>
      </c>
      <c r="K28" s="28" t="str">
        <f>RIGHT(Table1[[#This Row],[Product ID]],2)</f>
        <v>ES</v>
      </c>
      <c r="L28" s="29" t="str">
        <f>CONCATENATE(Table1[[#This Row],[Brand Name]]," ",Table1[[#This Row],[Product Name]])</f>
        <v>Bose Headphones</v>
      </c>
    </row>
    <row r="29" spans="1:12" ht="15.75" customHeight="1" x14ac:dyDescent="0.25">
      <c r="A29" s="7" t="s">
        <v>79</v>
      </c>
      <c r="B29" s="3" t="s">
        <v>80</v>
      </c>
      <c r="C29" s="3" t="s">
        <v>81</v>
      </c>
      <c r="D29" s="17">
        <v>60</v>
      </c>
      <c r="E29" s="3">
        <v>30</v>
      </c>
      <c r="F29" s="3" t="s">
        <v>13</v>
      </c>
      <c r="G29" s="1" t="b">
        <f>ISBLANK(D29)</f>
        <v>0</v>
      </c>
      <c r="H29" s="10" t="b">
        <f>ISBLANK(F29)</f>
        <v>0</v>
      </c>
      <c r="I29" s="26" t="str" cm="1">
        <f t="array" ref="I29">IF(
Table1[[#This Row],[Category]]&lt;&gt;"",
Table1[[#This Row],[Category]],
_xlfn.XLOOKUP(
Table1[[#This Row],[Product Name]],
_xlfn._xlws.FILTER(Table1[Product Name],Table1[Category]&lt;&gt;""),
_xlfn._xlws.FILTER(Table1[Category],Table1[Category]&lt;&gt;""),
""))</f>
        <v>Fashion</v>
      </c>
      <c r="J29" s="27" t="str">
        <f>LEFT(Table1[[#This Row],[Product ID]],6)</f>
        <v>07-MAR</v>
      </c>
      <c r="K29" s="28" t="str">
        <f>RIGHT(Table1[[#This Row],[Product ID]],2)</f>
        <v>CA</v>
      </c>
      <c r="L29" s="29" t="str">
        <f>CONCATENATE(Table1[[#This Row],[Brand Name]]," ",Table1[[#This Row],[Product Name]])</f>
        <v>Zara Dress</v>
      </c>
    </row>
    <row r="30" spans="1:12" ht="15.75" customHeight="1" x14ac:dyDescent="0.25">
      <c r="A30" s="8" t="s">
        <v>82</v>
      </c>
      <c r="B30" s="4" t="s">
        <v>83</v>
      </c>
      <c r="C30" s="4" t="s">
        <v>84</v>
      </c>
      <c r="D30" s="18">
        <v>40</v>
      </c>
      <c r="E30" s="4">
        <v>10</v>
      </c>
      <c r="F30" s="4" t="s">
        <v>17</v>
      </c>
      <c r="G30" s="1" t="b">
        <f>ISBLANK(D30)</f>
        <v>0</v>
      </c>
      <c r="H30" s="10" t="b">
        <f>ISBLANK(F30)</f>
        <v>0</v>
      </c>
      <c r="I30" s="26" t="str" cm="1">
        <f t="array" ref="I30">IF(
Table1[[#This Row],[Category]]&lt;&gt;"",
Table1[[#This Row],[Category]],
_xlfn.XLOOKUP(
Table1[[#This Row],[Product Name]],
_xlfn._xlws.FILTER(Table1[Product Name],Table1[Category]&lt;&gt;""),
_xlfn._xlws.FILTER(Table1[Category],Table1[Category]&lt;&gt;""),
""))</f>
        <v>Kitchen</v>
      </c>
      <c r="J30" s="27" t="str">
        <f>LEFT(Table1[[#This Row],[Product ID]],6)</f>
        <v>13-APR</v>
      </c>
      <c r="K30" s="28" t="str">
        <f>RIGHT(Table1[[#This Row],[Product ID]],2)</f>
        <v>CA</v>
      </c>
      <c r="L30" s="29" t="str">
        <f>CONCATENATE(Table1[[#This Row],[Brand Name]]," ",Table1[[#This Row],[Product Name]])</f>
        <v>Hamilton Toaster</v>
      </c>
    </row>
    <row r="31" spans="1:12" ht="15.75" customHeight="1" x14ac:dyDescent="0.25">
      <c r="A31" s="7" t="s">
        <v>85</v>
      </c>
      <c r="B31" s="3" t="s">
        <v>71</v>
      </c>
      <c r="C31" s="3" t="s">
        <v>86</v>
      </c>
      <c r="D31" s="17">
        <v>130</v>
      </c>
      <c r="E31" s="3">
        <v>5</v>
      </c>
      <c r="F31" s="3" t="s">
        <v>9</v>
      </c>
      <c r="G31" s="1" t="b">
        <f>ISBLANK(D31)</f>
        <v>0</v>
      </c>
      <c r="H31" s="10" t="b">
        <f>ISBLANK(F31)</f>
        <v>0</v>
      </c>
      <c r="I31" s="26" t="str" cm="1">
        <f t="array" ref="I31">IF(
Table1[[#This Row],[Category]]&lt;&gt;"",
Table1[[#This Row],[Category]],
_xlfn.XLOOKUP(
Table1[[#This Row],[Product Name]],
_xlfn._xlws.FILTER(Table1[Product Name],Table1[Category]&lt;&gt;""),
_xlfn._xlws.FILTER(Table1[Category],Table1[Category]&lt;&gt;""),
""))</f>
        <v>Electronics</v>
      </c>
      <c r="J31" s="27" t="str">
        <f>LEFT(Table1[[#This Row],[Product ID]],6)</f>
        <v>24-MAY</v>
      </c>
      <c r="K31" s="28" t="str">
        <f>RIGHT(Table1[[#This Row],[Product ID]],2)</f>
        <v>CA</v>
      </c>
      <c r="L31" s="29" t="str">
        <f>CONCATENATE(Table1[[#This Row],[Brand Name]]," ",Table1[[#This Row],[Product Name]])</f>
        <v>Garmin Fitness Tracker</v>
      </c>
    </row>
    <row r="32" spans="1:12" ht="15.75" customHeight="1" x14ac:dyDescent="0.25">
      <c r="A32" s="8" t="s">
        <v>87</v>
      </c>
      <c r="B32" s="4" t="s">
        <v>88</v>
      </c>
      <c r="C32" s="4" t="s">
        <v>89</v>
      </c>
      <c r="D32" s="18">
        <v>50</v>
      </c>
      <c r="E32" s="4">
        <v>50</v>
      </c>
      <c r="F32" s="4" t="s">
        <v>13</v>
      </c>
      <c r="G32" s="1" t="b">
        <f>ISBLANK(D32)</f>
        <v>0</v>
      </c>
      <c r="H32" s="10" t="b">
        <f>ISBLANK(F32)</f>
        <v>0</v>
      </c>
      <c r="I32" s="26" t="str" cm="1">
        <f t="array" ref="I32">IF(
Table1[[#This Row],[Category]]&lt;&gt;"",
Table1[[#This Row],[Category]],
_xlfn.XLOOKUP(
Table1[[#This Row],[Product Name]],
_xlfn._xlws.FILTER(Table1[Product Name],Table1[Category]&lt;&gt;""),
_xlfn._xlws.FILTER(Table1[Category],Table1[Category]&lt;&gt;""),
""))</f>
        <v>Fashion</v>
      </c>
      <c r="J32" s="27" t="str">
        <f>LEFT(Table1[[#This Row],[Product ID]],6)</f>
        <v>02-DEC</v>
      </c>
      <c r="K32" s="28" t="str">
        <f>RIGHT(Table1[[#This Row],[Product ID]],2)</f>
        <v>CA</v>
      </c>
      <c r="L32" s="29" t="str">
        <f>CONCATENATE(Table1[[#This Row],[Brand Name]]," ",Table1[[#This Row],[Product Name]])</f>
        <v>Levi's Jeans</v>
      </c>
    </row>
    <row r="33" spans="1:12" ht="15.75" customHeight="1" x14ac:dyDescent="0.25">
      <c r="A33" s="8" t="s">
        <v>90</v>
      </c>
      <c r="B33" s="4" t="s">
        <v>91</v>
      </c>
      <c r="C33" s="4" t="s">
        <v>92</v>
      </c>
      <c r="D33" s="18">
        <v>100</v>
      </c>
      <c r="E33" s="4">
        <v>20</v>
      </c>
      <c r="F33" s="4" t="s">
        <v>53</v>
      </c>
      <c r="G33" s="1" t="b">
        <f>ISBLANK(D33)</f>
        <v>0</v>
      </c>
      <c r="H33" s="10" t="b">
        <f>ISBLANK(F33)</f>
        <v>0</v>
      </c>
      <c r="I33" s="26" t="str" cm="1">
        <f t="array" ref="I33">IF(
Table1[[#This Row],[Category]]&lt;&gt;"",
Table1[[#This Row],[Category]],
_xlfn.XLOOKUP(
Table1[[#This Row],[Product Name]],
_xlfn._xlws.FILTER(Table1[Product Name],Table1[Category]&lt;&gt;""),
_xlfn._xlws.FILTER(Table1[Category],Table1[Category]&lt;&gt;""),
""))</f>
        <v>Accessories</v>
      </c>
      <c r="J33" s="27" t="str">
        <f>LEFT(Table1[[#This Row],[Product ID]],6)</f>
        <v>09-JUL</v>
      </c>
      <c r="K33" s="28" t="str">
        <f>RIGHT(Table1[[#This Row],[Product ID]],2)</f>
        <v>FR</v>
      </c>
      <c r="L33" s="29" t="str">
        <f>CONCATENATE(Table1[[#This Row],[Brand Name]]," ",Table1[[#This Row],[Product Name]])</f>
        <v>Casio Watch</v>
      </c>
    </row>
    <row r="34" spans="1:12" ht="15.75" customHeight="1" x14ac:dyDescent="0.25">
      <c r="J34"/>
      <c r="K34"/>
    </row>
    <row r="35" spans="1:12" ht="15.75" customHeight="1" x14ac:dyDescent="0.25"/>
    <row r="36" spans="1:12" ht="15.75" customHeight="1" x14ac:dyDescent="0.25"/>
    <row r="37" spans="1:12" ht="15.75" customHeight="1" x14ac:dyDescent="0.25"/>
    <row r="38" spans="1:12" ht="15.75" customHeight="1" x14ac:dyDescent="0.25"/>
    <row r="39" spans="1:12" ht="15.75" customHeight="1" x14ac:dyDescent="0.25"/>
    <row r="40" spans="1:12" ht="15.75" customHeight="1" x14ac:dyDescent="0.25"/>
    <row r="41" spans="1:12" ht="15.75" customHeight="1" x14ac:dyDescent="0.25"/>
    <row r="42" spans="1:12" ht="15.75" customHeight="1" x14ac:dyDescent="0.25"/>
    <row r="43" spans="1:12" ht="15.75" customHeight="1" x14ac:dyDescent="0.25"/>
    <row r="44" spans="1:12" ht="15.75" customHeight="1" x14ac:dyDescent="0.25"/>
    <row r="45" spans="1:12" ht="15.75" customHeight="1" x14ac:dyDescent="0.25"/>
    <row r="46" spans="1:12" ht="15.75" customHeight="1" x14ac:dyDescent="0.25"/>
    <row r="47" spans="1:12" ht="15.75" customHeight="1" x14ac:dyDescent="0.25"/>
    <row r="48" spans="1: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8" type="noConversion"/>
  <conditionalFormatting sqref="D1">
    <cfRule type="containsBlanks" priority="6">
      <formula>LEN(TRIM(D1))=0</formula>
    </cfRule>
  </conditionalFormatting>
  <conditionalFormatting sqref="D1:D33 D36:D1048576">
    <cfRule type="containsBlanks" priority="7">
      <formula>LEN(TRIM(D1))=0</formula>
    </cfRule>
  </conditionalFormatting>
  <conditionalFormatting sqref="F6">
    <cfRule type="containsText" dxfId="11" priority="5" operator="containsText" text="Electronics">
      <formula>NOT(ISERROR(SEARCH("Electronics",F6)))</formula>
    </cfRule>
  </conditionalFormatting>
  <conditionalFormatting sqref="A8">
    <cfRule type="duplicateValues" dxfId="10" priority="4"/>
  </conditionalFormatting>
  <conditionalFormatting sqref="A1:A33 A36:A1048576">
    <cfRule type="duplicateValues" dxfId="9" priority="3"/>
  </conditionalFormatting>
  <conditionalFormatting sqref="D1:D1048576">
    <cfRule type="dataBar" priority="2">
      <dataBar>
        <cfvo type="min"/>
        <cfvo type="max"/>
        <color rgb="FFD6007B"/>
      </dataBar>
      <extLst>
        <ext xmlns:x14="http://schemas.microsoft.com/office/spreadsheetml/2009/9/main" uri="{B025F937-C7B1-47D3-B67F-A62EFF666E3E}">
          <x14:id>{41D7F287-6CD6-4A32-ABDB-85B9CD91A324}</x14:id>
        </ext>
      </extLst>
    </cfRule>
  </conditionalFormatting>
  <conditionalFormatting sqref="F1:F1048576">
    <cfRule type="cellIs" dxfId="5" priority="1" operator="equal">
      <formula>"Electronics"</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1D7F287-6CD6-4A32-ABDB-85B9CD91A324}">
            <x14:dataBar minLength="0" maxLength="100" border="1" negativeBarBorderColorSameAsPositive="0">
              <x14:cfvo type="autoMin"/>
              <x14:cfvo type="autoMax"/>
              <x14:borderColor rgb="FFD6007B"/>
              <x14:negativeFillColor rgb="FFFF0000"/>
              <x14:negativeBorderColor rgb="FFFF0000"/>
              <x14:axisColor rgb="FF000000"/>
            </x14:dataBar>
          </x14:cfRule>
          <xm:sqref>D1:D1048576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A8081-9C16-4E3C-A0A6-7FA6F372E0E8}">
  <dimension ref="A1:C18"/>
  <sheetViews>
    <sheetView workbookViewId="0">
      <selection activeCell="A15" sqref="A15"/>
    </sheetView>
  </sheetViews>
  <sheetFormatPr defaultRowHeight="13.2" x14ac:dyDescent="0.25"/>
  <cols>
    <col min="1" max="1" width="185.88671875" style="14" customWidth="1"/>
  </cols>
  <sheetData>
    <row r="1" spans="1:3" ht="15.6" x14ac:dyDescent="0.3">
      <c r="A1" s="13" t="s">
        <v>93</v>
      </c>
    </row>
    <row r="2" spans="1:3" ht="15.6" x14ac:dyDescent="0.3">
      <c r="A2" s="15" t="s">
        <v>98</v>
      </c>
    </row>
    <row r="3" spans="1:3" ht="26.4" x14ac:dyDescent="0.25">
      <c r="A3" s="5" t="s">
        <v>96</v>
      </c>
    </row>
    <row r="4" spans="1:3" ht="26.4" x14ac:dyDescent="0.25">
      <c r="A4" s="5" t="s">
        <v>97</v>
      </c>
    </row>
    <row r="5" spans="1:3" ht="15.6" x14ac:dyDescent="0.3">
      <c r="A5" s="15" t="s">
        <v>99</v>
      </c>
    </row>
    <row r="6" spans="1:3" x14ac:dyDescent="0.25">
      <c r="A6" s="5" t="s">
        <v>116</v>
      </c>
    </row>
    <row r="7" spans="1:3" ht="15.6" x14ac:dyDescent="0.3">
      <c r="A7" s="15" t="s">
        <v>100</v>
      </c>
    </row>
    <row r="8" spans="1:3" ht="26.4" x14ac:dyDescent="0.25">
      <c r="A8" s="5" t="s">
        <v>115</v>
      </c>
    </row>
    <row r="9" spans="1:3" ht="15.6" x14ac:dyDescent="0.3">
      <c r="A9" s="15" t="s">
        <v>102</v>
      </c>
    </row>
    <row r="10" spans="1:3" x14ac:dyDescent="0.25">
      <c r="A10" s="14" t="s">
        <v>105</v>
      </c>
    </row>
    <row r="11" spans="1:3" x14ac:dyDescent="0.25">
      <c r="A11" s="14" t="s">
        <v>107</v>
      </c>
    </row>
    <row r="12" spans="1:3" x14ac:dyDescent="0.25">
      <c r="A12" s="14" t="s">
        <v>108</v>
      </c>
    </row>
    <row r="13" spans="1:3" ht="15.6" x14ac:dyDescent="0.3">
      <c r="A13" s="15" t="s">
        <v>109</v>
      </c>
      <c r="B13" s="3"/>
      <c r="C13" s="3"/>
    </row>
    <row r="14" spans="1:3" x14ac:dyDescent="0.25">
      <c r="A14" s="5" t="s">
        <v>110</v>
      </c>
    </row>
    <row r="15" spans="1:3" x14ac:dyDescent="0.25">
      <c r="A15" s="5" t="s">
        <v>111</v>
      </c>
    </row>
    <row r="16" spans="1:3" ht="15.6" x14ac:dyDescent="0.3">
      <c r="A16" s="15" t="s">
        <v>112</v>
      </c>
    </row>
    <row r="17" spans="1:1" x14ac:dyDescent="0.25">
      <c r="A17" s="5" t="s">
        <v>113</v>
      </c>
    </row>
    <row r="18" spans="1:1" x14ac:dyDescent="0.25">
      <c r="A18" s="5" t="s">
        <v>114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B85E5D-09FE-4E28-965F-4192ABB92E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Dataset</vt:lpstr>
      <vt:lpstr>Cleaned Dataset</vt:lpstr>
      <vt:lpstr>Observations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Madhu S</cp:lastModifiedBy>
  <dcterms:modified xsi:type="dcterms:W3CDTF">2026-06-29T10:52:41Z</dcterms:modified>
</cp:coreProperties>
</file>